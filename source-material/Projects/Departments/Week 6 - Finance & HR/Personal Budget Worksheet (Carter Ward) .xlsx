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isions-my.sharepoint.com/personal/carter_ward_evisions_com/Documents/Desktop/"/>
    </mc:Choice>
  </mc:AlternateContent>
  <xr:revisionPtr revIDLastSave="1" documentId="8_{89369752-831D-4C26-A03F-61E9109596C5}" xr6:coauthVersionLast="47" xr6:coauthVersionMax="47" xr10:uidLastSave="{866B2667-CA54-4802-9EC9-A6C7D41D9AA2}"/>
  <bookViews>
    <workbookView xWindow="-108" yWindow="-108" windowWidth="23256" windowHeight="12456" xr2:uid="{53B5F140-30A2-434B-8056-E7E862F98AFF}"/>
  </bookViews>
  <sheets>
    <sheet name="Budget" sheetId="1" r:id="rId1"/>
    <sheet name="Income" sheetId="4" state="hidden" r:id="rId2"/>
    <sheet name="Fixed Expenses" sheetId="3" state="hidden" r:id="rId3"/>
    <sheet name="Variable Expenses" sheetId="2" state="hidden" r:id="rId4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39" i="1"/>
  <c r="C13" i="1" l="1"/>
  <c r="D12" i="1"/>
  <c r="D11" i="1"/>
  <c r="D10" i="1"/>
  <c r="D9" i="1"/>
  <c r="D8" i="1"/>
  <c r="D7" i="1"/>
  <c r="D6" i="1"/>
  <c r="B12" i="1"/>
  <c r="B11" i="1"/>
  <c r="B10" i="1"/>
  <c r="B9" i="1"/>
  <c r="B8" i="1"/>
  <c r="B7" i="1"/>
  <c r="B6" i="1"/>
  <c r="B5" i="1"/>
  <c r="C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D57" i="1"/>
  <c r="D56" i="1"/>
  <c r="D55" i="1"/>
  <c r="D54" i="1"/>
  <c r="D53" i="1"/>
  <c r="D52" i="1"/>
  <c r="D51" i="1"/>
  <c r="D50" i="1"/>
  <c r="D49" i="1"/>
  <c r="D48" i="1"/>
  <c r="D47" i="1"/>
  <c r="D46" i="1"/>
  <c r="C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D45" i="1"/>
  <c r="D44" i="1"/>
  <c r="D43" i="1"/>
  <c r="D42" i="1"/>
  <c r="D41" i="1"/>
  <c r="D40" i="1"/>
  <c r="D39" i="1"/>
  <c r="D35" i="1" l="1"/>
  <c r="D58" i="1"/>
  <c r="C61" i="1"/>
  <c r="D13" i="1"/>
  <c r="D61" i="1" l="1"/>
</calcChain>
</file>

<file path=xl/sharedStrings.xml><?xml version="1.0" encoding="utf-8"?>
<sst xmlns="http://schemas.openxmlformats.org/spreadsheetml/2006/main" count="58" uniqueCount="54">
  <si>
    <t>Budget</t>
  </si>
  <si>
    <t>Income:</t>
  </si>
  <si>
    <t>Monthly</t>
  </si>
  <si>
    <t>Annualized</t>
  </si>
  <si>
    <t>Total Income:</t>
  </si>
  <si>
    <t>Fixed Expenses:</t>
  </si>
  <si>
    <t>Total Fixed Expenses:</t>
  </si>
  <si>
    <t>Variable Expenses:</t>
  </si>
  <si>
    <t>Total Flexible Expenses</t>
  </si>
  <si>
    <t>Monthly Profit / Loss:</t>
  </si>
  <si>
    <t>Income - Examples</t>
  </si>
  <si>
    <t>Primary Job</t>
  </si>
  <si>
    <t>Bonus</t>
  </si>
  <si>
    <t>Loan / Grant</t>
  </si>
  <si>
    <t>Gift</t>
  </si>
  <si>
    <t>Investment Income</t>
  </si>
  <si>
    <t>Rental Income</t>
  </si>
  <si>
    <t>Secondary Income</t>
  </si>
  <si>
    <t>Allowance</t>
  </si>
  <si>
    <t>Child Support / Alimony</t>
  </si>
  <si>
    <t>Fixed Expenses - Examples</t>
  </si>
  <si>
    <t>Housing</t>
  </si>
  <si>
    <t>Gas</t>
  </si>
  <si>
    <t>Phone</t>
  </si>
  <si>
    <t>Car</t>
  </si>
  <si>
    <t>Internet</t>
  </si>
  <si>
    <t>Groceries</t>
  </si>
  <si>
    <t>Health Insurance</t>
  </si>
  <si>
    <t>Car Insurance</t>
  </si>
  <si>
    <t>Utilities</t>
  </si>
  <si>
    <t>Student Loan</t>
  </si>
  <si>
    <t>Taxes</t>
  </si>
  <si>
    <t>Property Taxes</t>
  </si>
  <si>
    <t>Child care</t>
  </si>
  <si>
    <t>Retirement</t>
  </si>
  <si>
    <t>Variable Expenses - Examples</t>
  </si>
  <si>
    <t>Subscriptions - Netflix</t>
  </si>
  <si>
    <t>Videogames</t>
  </si>
  <si>
    <t>Gym</t>
  </si>
  <si>
    <t>Golf</t>
  </si>
  <si>
    <t>Animals</t>
  </si>
  <si>
    <t>Going Out</t>
  </si>
  <si>
    <t>Going Out to Eat</t>
  </si>
  <si>
    <t>Clothes</t>
  </si>
  <si>
    <t>Nails Done / Hair Done</t>
  </si>
  <si>
    <t>Make-Up</t>
  </si>
  <si>
    <t>Coffee</t>
  </si>
  <si>
    <t>Skincare</t>
  </si>
  <si>
    <t>Concerts/Sporting Events</t>
  </si>
  <si>
    <t>Amazon Prime</t>
  </si>
  <si>
    <t>Supplements/Vitamins/PreWorkout</t>
  </si>
  <si>
    <t>Hygiene</t>
  </si>
  <si>
    <t>Travel</t>
  </si>
  <si>
    <t>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</si>
</sst>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0" borderId="1" xfId="0" applyNumberFormat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D7CB-D692-4BD9-97C8-ECBE3772E23C}">
  <dimension ref="B2:D61"/>
  <sheetViews>
    <sheetView tabSelected="1" zoomScale="89" zoomScaleNormal="145" workbookViewId="0">
      <selection activeCell="H8" sqref="H8"/>
    </sheetView>
  </sheetViews>
  <sheetFormatPr defaultColWidth="8.85546875" defaultRowHeight="14.45"/>
  <cols>
    <col min="2" max="2" width="33.140625" bestFit="1" customWidth="1"/>
    <col min="3" max="4" width="19.28515625" customWidth="1"/>
  </cols>
  <sheetData>
    <row r="2" spans="2:4">
      <c r="B2" s="3" t="s">
        <v>0</v>
      </c>
    </row>
    <row r="4" spans="2:4">
      <c r="B4" s="1" t="s">
        <v>1</v>
      </c>
      <c r="C4" s="4" t="s">
        <v>2</v>
      </c>
      <c r="D4" s="4" t="s">
        <v>3</v>
      </c>
    </row>
    <row r="5" spans="2:4">
      <c r="B5" s="5" t="str">
        <f>Income!A2</f>
        <v>Primary Job</v>
      </c>
      <c r="C5" s="6">
        <v>8000</v>
      </c>
      <c r="D5" s="6">
        <f>C5*12</f>
        <v>96000</v>
      </c>
    </row>
    <row r="6" spans="2:4">
      <c r="B6" s="5" t="str">
        <f>Income!A4</f>
        <v>Loan / Grant</v>
      </c>
      <c r="C6" s="6">
        <v>0</v>
      </c>
      <c r="D6" s="6">
        <f t="shared" ref="D6:D12" si="0">C6*12</f>
        <v>0</v>
      </c>
    </row>
    <row r="7" spans="2:4">
      <c r="B7" s="5" t="str">
        <f>Income!A5</f>
        <v>Gift</v>
      </c>
      <c r="C7" s="6">
        <v>0</v>
      </c>
      <c r="D7" s="6">
        <f t="shared" si="0"/>
        <v>0</v>
      </c>
    </row>
    <row r="8" spans="2:4">
      <c r="B8" s="5" t="str">
        <f>Income!A6</f>
        <v>Investment Income</v>
      </c>
      <c r="C8" s="6">
        <v>0</v>
      </c>
      <c r="D8" s="6">
        <f t="shared" si="0"/>
        <v>0</v>
      </c>
    </row>
    <row r="9" spans="2:4">
      <c r="B9" s="5" t="str">
        <f>Income!A7</f>
        <v>Rental Income</v>
      </c>
      <c r="C9" s="6">
        <v>0</v>
      </c>
      <c r="D9" s="6">
        <f t="shared" si="0"/>
        <v>0</v>
      </c>
    </row>
    <row r="10" spans="2:4">
      <c r="B10" s="5" t="str">
        <f>Income!A8</f>
        <v>Secondary Income</v>
      </c>
      <c r="C10" s="6">
        <v>0</v>
      </c>
      <c r="D10" s="6">
        <f t="shared" si="0"/>
        <v>0</v>
      </c>
    </row>
    <row r="11" spans="2:4">
      <c r="B11" s="5" t="str">
        <f>Income!A9</f>
        <v>Allowance</v>
      </c>
      <c r="C11" s="6">
        <v>0</v>
      </c>
      <c r="D11" s="6">
        <f t="shared" si="0"/>
        <v>0</v>
      </c>
    </row>
    <row r="12" spans="2:4">
      <c r="B12" s="5" t="str">
        <f>Income!A10</f>
        <v>Child Support / Alimony</v>
      </c>
      <c r="C12" s="6">
        <v>0</v>
      </c>
      <c r="D12" s="6">
        <f t="shared" si="0"/>
        <v>0</v>
      </c>
    </row>
    <row r="13" spans="2:4">
      <c r="B13" s="1" t="s">
        <v>4</v>
      </c>
      <c r="C13" s="7">
        <f>SUM(C5:C12)</f>
        <v>8000</v>
      </c>
      <c r="D13" s="7">
        <f>SUM(D5:D12)</f>
        <v>96000</v>
      </c>
    </row>
    <row r="16" spans="2:4">
      <c r="B16" s="1" t="s">
        <v>5</v>
      </c>
      <c r="C16" s="4" t="s">
        <v>2</v>
      </c>
      <c r="D16" s="4" t="s">
        <v>3</v>
      </c>
    </row>
    <row r="17" spans="2:4">
      <c r="B17" s="5" t="str">
        <f>'Fixed Expenses'!A2</f>
        <v>Housing</v>
      </c>
      <c r="C17" s="6">
        <v>1100</v>
      </c>
      <c r="D17" s="6">
        <f>C17*12</f>
        <v>13200</v>
      </c>
    </row>
    <row r="18" spans="2:4">
      <c r="B18" s="5" t="str">
        <f>'Fixed Expenses'!A3</f>
        <v>Gas</v>
      </c>
      <c r="C18" s="6">
        <v>120</v>
      </c>
      <c r="D18" s="6">
        <f>C18*12</f>
        <v>1440</v>
      </c>
    </row>
    <row r="19" spans="2:4">
      <c r="B19" s="5" t="str">
        <f>'Fixed Expenses'!A4</f>
        <v>Phone</v>
      </c>
      <c r="C19" s="6">
        <v>50</v>
      </c>
      <c r="D19" s="6">
        <f t="shared" ref="D19:D34" si="1">C19*12</f>
        <v>600</v>
      </c>
    </row>
    <row r="20" spans="2:4">
      <c r="B20" s="5" t="str">
        <f>'Fixed Expenses'!A5</f>
        <v>Car</v>
      </c>
      <c r="C20" s="6">
        <v>300</v>
      </c>
      <c r="D20" s="6">
        <f t="shared" si="1"/>
        <v>3600</v>
      </c>
    </row>
    <row r="21" spans="2:4">
      <c r="B21" s="5" t="str">
        <f>'Fixed Expenses'!A6</f>
        <v>Internet</v>
      </c>
      <c r="C21" s="6">
        <v>60</v>
      </c>
      <c r="D21" s="6">
        <f t="shared" si="1"/>
        <v>720</v>
      </c>
    </row>
    <row r="22" spans="2:4">
      <c r="B22" s="5" t="str">
        <f>'Fixed Expenses'!A7</f>
        <v>Groceries</v>
      </c>
      <c r="C22" s="6">
        <v>300</v>
      </c>
      <c r="D22" s="6">
        <f t="shared" si="1"/>
        <v>3600</v>
      </c>
    </row>
    <row r="23" spans="2:4">
      <c r="B23" s="5" t="str">
        <f>'Fixed Expenses'!A8</f>
        <v>Health Insurance</v>
      </c>
      <c r="C23" s="6">
        <v>150</v>
      </c>
      <c r="D23" s="6">
        <f t="shared" si="1"/>
        <v>1800</v>
      </c>
    </row>
    <row r="24" spans="2:4">
      <c r="B24" s="5" t="str">
        <f>'Fixed Expenses'!A9</f>
        <v>Car Insurance</v>
      </c>
      <c r="C24" s="6">
        <v>110</v>
      </c>
      <c r="D24" s="6">
        <f t="shared" si="1"/>
        <v>1320</v>
      </c>
    </row>
    <row r="25" spans="2:4">
      <c r="B25" s="5" t="str">
        <f>'Fixed Expenses'!A10</f>
        <v>Utilities</v>
      </c>
      <c r="C25" s="6">
        <v>130</v>
      </c>
      <c r="D25" s="6">
        <f t="shared" si="1"/>
        <v>1560</v>
      </c>
    </row>
    <row r="26" spans="2:4">
      <c r="B26" s="5" t="str">
        <f>'Fixed Expenses'!A11</f>
        <v>Student Loan</v>
      </c>
      <c r="C26" s="6">
        <v>0</v>
      </c>
      <c r="D26" s="6">
        <f t="shared" si="1"/>
        <v>0</v>
      </c>
    </row>
    <row r="27" spans="2:4">
      <c r="B27" s="5" t="str">
        <f>'Fixed Expenses'!A12</f>
        <v>Taxes</v>
      </c>
      <c r="C27" s="6">
        <v>1276</v>
      </c>
      <c r="D27" s="6">
        <f t="shared" si="1"/>
        <v>15312</v>
      </c>
    </row>
    <row r="28" spans="2:4">
      <c r="B28" s="5" t="str">
        <f>'Fixed Expenses'!A13</f>
        <v>Property Taxes</v>
      </c>
      <c r="C28" s="6">
        <v>0</v>
      </c>
      <c r="D28" s="6">
        <f>C28*12</f>
        <v>0</v>
      </c>
    </row>
    <row r="29" spans="2:4">
      <c r="B29" s="5" t="str">
        <f>'Fixed Expenses'!A14</f>
        <v>Child care</v>
      </c>
      <c r="C29" s="6">
        <v>0</v>
      </c>
      <c r="D29" s="6">
        <f>C29*12</f>
        <v>0</v>
      </c>
    </row>
    <row r="30" spans="2:4">
      <c r="B30" s="5" t="str">
        <f>'Fixed Expenses'!A15</f>
        <v>Retirement</v>
      </c>
      <c r="C30" s="6">
        <v>290</v>
      </c>
      <c r="D30" s="6">
        <f t="shared" si="1"/>
        <v>3480</v>
      </c>
    </row>
    <row r="31" spans="2:4">
      <c r="B31" s="5">
        <f>'Fixed Expenses'!A16</f>
        <v>0</v>
      </c>
      <c r="C31" s="6"/>
      <c r="D31" s="6">
        <f t="shared" si="1"/>
        <v>0</v>
      </c>
    </row>
    <row r="32" spans="2:4">
      <c r="B32" s="5">
        <f>'Fixed Expenses'!A17</f>
        <v>0</v>
      </c>
      <c r="C32" s="6"/>
      <c r="D32" s="6">
        <f t="shared" si="1"/>
        <v>0</v>
      </c>
    </row>
    <row r="33" spans="2:4">
      <c r="B33" s="5">
        <f>'Fixed Expenses'!A18</f>
        <v>0</v>
      </c>
      <c r="C33" s="6"/>
      <c r="D33" s="6">
        <f t="shared" si="1"/>
        <v>0</v>
      </c>
    </row>
    <row r="34" spans="2:4">
      <c r="B34" s="5">
        <f>'Fixed Expenses'!A19</f>
        <v>0</v>
      </c>
      <c r="C34" s="6"/>
      <c r="D34" s="6">
        <f t="shared" si="1"/>
        <v>0</v>
      </c>
    </row>
    <row r="35" spans="2:4">
      <c r="B35" s="1" t="s">
        <v>6</v>
      </c>
      <c r="C35" s="7">
        <f>SUM(C17:C34)</f>
        <v>3886</v>
      </c>
      <c r="D35" s="7">
        <f>SUM(D17:D34)</f>
        <v>46632</v>
      </c>
    </row>
    <row r="38" spans="2:4">
      <c r="B38" s="1" t="s">
        <v>7</v>
      </c>
      <c r="C38" s="4" t="s">
        <v>2</v>
      </c>
      <c r="D38" s="4" t="s">
        <v>3</v>
      </c>
    </row>
    <row r="39" spans="2:4">
      <c r="B39" s="5" t="str">
        <f>'Variable Expenses'!A2</f>
        <v>Subscriptions - Netflix</v>
      </c>
      <c r="C39" s="6">
        <v>15</v>
      </c>
      <c r="D39" s="6">
        <f t="shared" ref="D39:D57" si="2">C39*12</f>
        <v>180</v>
      </c>
    </row>
    <row r="40" spans="2:4">
      <c r="B40" s="5" t="str">
        <f>'Variable Expenses'!A3</f>
        <v>Videogames</v>
      </c>
      <c r="C40" s="6">
        <v>10</v>
      </c>
      <c r="D40" s="6">
        <f t="shared" si="2"/>
        <v>120</v>
      </c>
    </row>
    <row r="41" spans="2:4">
      <c r="B41" s="5" t="str">
        <f>'Variable Expenses'!A4</f>
        <v>Gym</v>
      </c>
      <c r="C41" s="6">
        <v>20</v>
      </c>
      <c r="D41" s="6">
        <f t="shared" si="2"/>
        <v>240</v>
      </c>
    </row>
    <row r="42" spans="2:4">
      <c r="B42" s="5" t="str">
        <f>'Variable Expenses'!A5</f>
        <v>Golf</v>
      </c>
      <c r="C42" s="6">
        <v>0</v>
      </c>
      <c r="D42" s="6">
        <f t="shared" si="2"/>
        <v>0</v>
      </c>
    </row>
    <row r="43" spans="2:4">
      <c r="B43" s="5" t="str">
        <f>'Variable Expenses'!A6</f>
        <v>Animals</v>
      </c>
      <c r="C43" s="6">
        <v>0</v>
      </c>
      <c r="D43" s="6">
        <f t="shared" si="2"/>
        <v>0</v>
      </c>
    </row>
    <row r="44" spans="2:4">
      <c r="B44" s="5" t="str">
        <f>'Variable Expenses'!A7</f>
        <v>Going Out</v>
      </c>
      <c r="C44" s="6">
        <v>30</v>
      </c>
      <c r="D44" s="6">
        <f t="shared" si="2"/>
        <v>360</v>
      </c>
    </row>
    <row r="45" spans="2:4">
      <c r="B45" s="5" t="str">
        <f>'Variable Expenses'!A8</f>
        <v>Going Out to Eat</v>
      </c>
      <c r="C45" s="6">
        <v>20</v>
      </c>
      <c r="D45" s="6">
        <f t="shared" si="2"/>
        <v>240</v>
      </c>
    </row>
    <row r="46" spans="2:4">
      <c r="B46" s="5" t="str">
        <f>'Variable Expenses'!A9</f>
        <v>Clothes</v>
      </c>
      <c r="C46" s="6">
        <v>30</v>
      </c>
      <c r="D46" s="6">
        <f t="shared" si="2"/>
        <v>360</v>
      </c>
    </row>
    <row r="47" spans="2:4">
      <c r="B47" s="5" t="str">
        <f>'Variable Expenses'!A10</f>
        <v>Nails Done / Hair Done</v>
      </c>
      <c r="C47" s="6">
        <v>15</v>
      </c>
      <c r="D47" s="6">
        <f t="shared" si="2"/>
        <v>180</v>
      </c>
    </row>
    <row r="48" spans="2:4">
      <c r="B48" s="5" t="str">
        <f>'Variable Expenses'!A11</f>
        <v>Make-Up</v>
      </c>
      <c r="C48" s="6">
        <v>0</v>
      </c>
      <c r="D48" s="6">
        <f t="shared" si="2"/>
        <v>0</v>
      </c>
    </row>
    <row r="49" spans="2:4">
      <c r="B49" s="5" t="str">
        <f>'Variable Expenses'!A12</f>
        <v>Coffee</v>
      </c>
      <c r="C49" s="6">
        <v>5</v>
      </c>
      <c r="D49" s="6">
        <f t="shared" si="2"/>
        <v>60</v>
      </c>
    </row>
    <row r="50" spans="2:4">
      <c r="B50" s="5" t="str">
        <f>'Variable Expenses'!A13</f>
        <v>Skincare</v>
      </c>
      <c r="C50" s="6">
        <v>5</v>
      </c>
      <c r="D50" s="6">
        <f t="shared" si="2"/>
        <v>60</v>
      </c>
    </row>
    <row r="51" spans="2:4">
      <c r="B51" s="5" t="str">
        <f>'Variable Expenses'!A14</f>
        <v>Concerts/Sporting Events</v>
      </c>
      <c r="C51" s="6">
        <v>20</v>
      </c>
      <c r="D51" s="6">
        <f t="shared" si="2"/>
        <v>240</v>
      </c>
    </row>
    <row r="52" spans="2:4">
      <c r="B52" s="5" t="str">
        <f>'Variable Expenses'!A15</f>
        <v>Amazon Prime</v>
      </c>
      <c r="C52" s="6">
        <v>12</v>
      </c>
      <c r="D52" s="6">
        <f t="shared" si="2"/>
        <v>144</v>
      </c>
    </row>
    <row r="53" spans="2:4">
      <c r="B53" s="5" t="str">
        <f>'Variable Expenses'!A16</f>
        <v>Supplements/Vitamins/PreWorkout</v>
      </c>
      <c r="C53" s="6">
        <v>15</v>
      </c>
      <c r="D53" s="6">
        <f t="shared" si="2"/>
        <v>180</v>
      </c>
    </row>
    <row r="54" spans="2:4">
      <c r="B54" s="5" t="str">
        <f>'Variable Expenses'!A17</f>
        <v>Hygiene</v>
      </c>
      <c r="C54" s="6">
        <v>20</v>
      </c>
      <c r="D54" s="6">
        <f>C54*12</f>
        <v>240</v>
      </c>
    </row>
    <row r="55" spans="2:4">
      <c r="B55" s="5" t="str">
        <f>'Variable Expenses'!A18</f>
        <v>Travel</v>
      </c>
      <c r="C55" s="6">
        <v>50</v>
      </c>
      <c r="D55" s="6">
        <f>C55*12</f>
        <v>600</v>
      </c>
    </row>
    <row r="56" spans="2:4">
      <c r="B56" s="5" t="str">
        <f>'Variable Expenses'!A19</f>
        <v>Gifts</v>
      </c>
      <c r="C56" s="6">
        <v>20</v>
      </c>
      <c r="D56" s="6">
        <f t="shared" si="2"/>
        <v>240</v>
      </c>
    </row>
    <row r="57" spans="2:4">
      <c r="B57" s="5">
        <f>'Variable Expenses'!A20</f>
        <v>0</v>
      </c>
      <c r="C57" s="6"/>
      <c r="D57" s="6">
        <f t="shared" si="2"/>
        <v>0</v>
      </c>
    </row>
    <row r="58" spans="2:4">
      <c r="B58" s="1" t="s">
        <v>8</v>
      </c>
      <c r="C58" s="7">
        <f>SUM(C39:C57)</f>
        <v>287</v>
      </c>
      <c r="D58" s="7">
        <f>SUM(D39:D57)</f>
        <v>3444</v>
      </c>
    </row>
    <row r="61" spans="2:4">
      <c r="B61" s="3" t="s">
        <v>9</v>
      </c>
      <c r="C61">
        <f>C13-C35-C58</f>
        <v>3827</v>
      </c>
      <c r="D61">
        <f>D13-D35-D58</f>
        <v>45924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5A4D-0887-43DC-A4C6-B90796E19E25}">
  <dimension ref="A1:A25"/>
  <sheetViews>
    <sheetView workbookViewId="0">
      <selection activeCell="A5" sqref="A5"/>
    </sheetView>
  </sheetViews>
  <sheetFormatPr defaultRowHeight="14.45"/>
  <cols>
    <col min="1" max="1" width="24.5703125" bestFit="1" customWidth="1"/>
  </cols>
  <sheetData>
    <row r="1" spans="1:1">
      <c r="A1" s="1" t="s">
        <v>10</v>
      </c>
    </row>
    <row r="2" spans="1:1">
      <c r="A2" s="2" t="s">
        <v>11</v>
      </c>
    </row>
    <row r="3" spans="1:1">
      <c r="A3" s="2" t="s">
        <v>12</v>
      </c>
    </row>
    <row r="4" spans="1:1">
      <c r="A4" s="2" t="s">
        <v>13</v>
      </c>
    </row>
    <row r="5" spans="1:1">
      <c r="A5" s="2" t="s">
        <v>14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17</v>
      </c>
    </row>
    <row r="9" spans="1:1">
      <c r="A9" s="2" t="s">
        <v>18</v>
      </c>
    </row>
    <row r="10" spans="1:1">
      <c r="A10" s="2" t="s">
        <v>19</v>
      </c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989C-43DC-4683-BD57-2DAB9FEC3EA2}">
  <dimension ref="A1:A24"/>
  <sheetViews>
    <sheetView workbookViewId="0">
      <selection activeCell="E18" sqref="E18"/>
    </sheetView>
  </sheetViews>
  <sheetFormatPr defaultRowHeight="14.45"/>
  <cols>
    <col min="1" max="1" width="24.5703125" bestFit="1" customWidth="1"/>
  </cols>
  <sheetData>
    <row r="1" spans="1:1">
      <c r="A1" s="1" t="s">
        <v>20</v>
      </c>
    </row>
    <row r="2" spans="1:1">
      <c r="A2" s="2" t="s">
        <v>21</v>
      </c>
    </row>
    <row r="3" spans="1:1">
      <c r="A3" s="2" t="s">
        <v>22</v>
      </c>
    </row>
    <row r="4" spans="1:1">
      <c r="A4" s="2" t="s">
        <v>23</v>
      </c>
    </row>
    <row r="5" spans="1:1">
      <c r="A5" s="2" t="s">
        <v>24</v>
      </c>
    </row>
    <row r="6" spans="1:1">
      <c r="A6" s="2" t="s">
        <v>25</v>
      </c>
    </row>
    <row r="7" spans="1:1">
      <c r="A7" s="2" t="s">
        <v>26</v>
      </c>
    </row>
    <row r="8" spans="1:1">
      <c r="A8" s="2" t="s">
        <v>27</v>
      </c>
    </row>
    <row r="9" spans="1:1">
      <c r="A9" s="2" t="s">
        <v>28</v>
      </c>
    </row>
    <row r="10" spans="1:1">
      <c r="A10" s="2" t="s">
        <v>29</v>
      </c>
    </row>
    <row r="11" spans="1:1">
      <c r="A11" s="2" t="s">
        <v>30</v>
      </c>
    </row>
    <row r="12" spans="1:1">
      <c r="A12" s="2" t="s">
        <v>31</v>
      </c>
    </row>
    <row r="13" spans="1:1">
      <c r="A13" s="2" t="s">
        <v>32</v>
      </c>
    </row>
    <row r="14" spans="1:1">
      <c r="A14" s="2" t="s">
        <v>33</v>
      </c>
    </row>
    <row r="15" spans="1:1">
      <c r="A15" s="2" t="s">
        <v>34</v>
      </c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872C-C61D-4948-AA3C-9C46555491E5}">
  <dimension ref="A1:A22"/>
  <sheetViews>
    <sheetView workbookViewId="0">
      <selection activeCell="B24" sqref="B24"/>
    </sheetView>
  </sheetViews>
  <sheetFormatPr defaultRowHeight="14.45"/>
  <cols>
    <col min="1" max="1" width="33.140625" bestFit="1" customWidth="1"/>
  </cols>
  <sheetData>
    <row r="1" spans="1:1">
      <c r="A1" s="1" t="s">
        <v>35</v>
      </c>
    </row>
    <row r="2" spans="1:1">
      <c r="A2" s="2" t="s">
        <v>36</v>
      </c>
    </row>
    <row r="3" spans="1:1">
      <c r="A3" s="2" t="s">
        <v>37</v>
      </c>
    </row>
    <row r="4" spans="1:1">
      <c r="A4" s="2" t="s">
        <v>38</v>
      </c>
    </row>
    <row r="5" spans="1:1">
      <c r="A5" s="2" t="s">
        <v>39</v>
      </c>
    </row>
    <row r="6" spans="1:1">
      <c r="A6" s="2" t="s">
        <v>40</v>
      </c>
    </row>
    <row r="7" spans="1:1">
      <c r="A7" s="2" t="s">
        <v>41</v>
      </c>
    </row>
    <row r="8" spans="1:1">
      <c r="A8" s="2" t="s">
        <v>42</v>
      </c>
    </row>
    <row r="9" spans="1:1">
      <c r="A9" s="2" t="s">
        <v>43</v>
      </c>
    </row>
    <row r="10" spans="1:1">
      <c r="A10" s="2" t="s">
        <v>44</v>
      </c>
    </row>
    <row r="11" spans="1:1">
      <c r="A11" s="2" t="s">
        <v>45</v>
      </c>
    </row>
    <row r="12" spans="1:1">
      <c r="A12" s="2" t="s">
        <v>46</v>
      </c>
    </row>
    <row r="13" spans="1:1">
      <c r="A13" s="2" t="s">
        <v>47</v>
      </c>
    </row>
    <row r="14" spans="1:1">
      <c r="A14" s="2" t="s">
        <v>48</v>
      </c>
    </row>
    <row r="15" spans="1:1">
      <c r="A15" s="2" t="s">
        <v>49</v>
      </c>
    </row>
    <row r="16" spans="1:1">
      <c r="A16" s="2" t="s">
        <v>50</v>
      </c>
    </row>
    <row r="17" spans="1:1">
      <c r="A17" s="2" t="s">
        <v>51</v>
      </c>
    </row>
    <row r="18" spans="1:1">
      <c r="A18" s="2" t="s">
        <v>52</v>
      </c>
    </row>
    <row r="19" spans="1:1">
      <c r="A19" s="2" t="s">
        <v>53</v>
      </c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5B18512D53F41BDE18DDF49B141B1" ma:contentTypeVersion="15" ma:contentTypeDescription="Create a new document." ma:contentTypeScope="" ma:versionID="e906cf6e48426ee06c66027bb80d6180">
  <xsd:schema xmlns:xsd="http://www.w3.org/2001/XMLSchema" xmlns:xs="http://www.w3.org/2001/XMLSchema" xmlns:p="http://schemas.microsoft.com/office/2006/metadata/properties" xmlns:ns2="dcd73cc7-3f1a-4f0c-93a2-52248963654a" xmlns:ns3="1b6a93da-3008-4b4c-a527-3918a3aa2c8d" targetNamespace="http://schemas.microsoft.com/office/2006/metadata/properties" ma:root="true" ma:fieldsID="7e970348c30aff7842b1d265af3f3d1b" ns2:_="" ns3:_="">
    <xsd:import namespace="dcd73cc7-3f1a-4f0c-93a2-52248963654a"/>
    <xsd:import namespace="1b6a93da-3008-4b4c-a527-3918a3aa2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73cc7-3f1a-4f0c-93a2-522489636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0605de8-6ea5-48e6-9496-7988cfd13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93da-3008-4b4c-a527-3918a3aa2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ea22cc-db3d-48eb-9246-edf9007a76f7}" ma:internalName="TaxCatchAll" ma:showField="CatchAllData" ma:web="1b6a93da-3008-4b4c-a527-3918a3aa2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73cc7-3f1a-4f0c-93a2-52248963654a">
      <Terms xmlns="http://schemas.microsoft.com/office/infopath/2007/PartnerControls"/>
    </lcf76f155ced4ddcb4097134ff3c332f>
    <TaxCatchAll xmlns="1b6a93da-3008-4b4c-a527-3918a3aa2c8d" xsi:nil="true"/>
  </documentManagement>
</p:properties>
</file>

<file path=customXml/itemProps1.xml><?xml version="1.0" encoding="utf-8"?>
<ds:datastoreItem xmlns:ds="http://schemas.openxmlformats.org/officeDocument/2006/customXml" ds:itemID="{DC2FE502-4BFF-4836-815B-964AAE9468D1}"/>
</file>

<file path=customXml/itemProps2.xml><?xml version="1.0" encoding="utf-8"?>
<ds:datastoreItem xmlns:ds="http://schemas.openxmlformats.org/officeDocument/2006/customXml" ds:itemID="{7928498D-90D4-42D7-BCF8-688FED638867}"/>
</file>

<file path=customXml/itemProps3.xml><?xml version="1.0" encoding="utf-8"?>
<ds:datastoreItem xmlns:ds="http://schemas.openxmlformats.org/officeDocument/2006/customXml" ds:itemID="{3643A3BD-06E6-4A75-A2CA-C0B1F72F9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Bobby Lin</dc:creator>
  <cp:keywords/>
  <dc:description/>
  <cp:lastModifiedBy>Carter Ward</cp:lastModifiedBy>
  <cp:revision/>
  <dcterms:created xsi:type="dcterms:W3CDTF">2023-07-06T18:28:06Z</dcterms:created>
  <dcterms:modified xsi:type="dcterms:W3CDTF">2026-07-15T01:15:10Z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0x010100E585B18512D53F41BDE18DDF49B141B1</vt:lpwstr>
  </property>
  <property fmtid="{D5CDD505-2E9C-101B-9397-08002B2CF9AE}" pid="3" name="MediaServiceImageTags">
    <vt:lpwstr/>
  </property>
</Properties>
</file>