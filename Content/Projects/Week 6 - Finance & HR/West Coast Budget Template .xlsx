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isions.sharepoint.com/Internship Program 2023/2026/Weekly Lessons/Week 6 - Finance &amp; HR/Finance/"/>
    </mc:Choice>
  </mc:AlternateContent>
  <xr:revisionPtr revIDLastSave="1071" documentId="8_{B68640DC-027E-48E0-8F8B-8E1F4C6332BA}" xr6:coauthVersionLast="47" xr6:coauthVersionMax="47" xr10:uidLastSave="{91A825FF-42C9-46DC-8E1D-1EC265C27AD2}"/>
  <bookViews>
    <workbookView xWindow="28680" yWindow="-2010" windowWidth="38640" windowHeight="21120" firstSheet="3" activeTab="3" xr2:uid="{19EF5438-A9D3-944F-A6FD-6E1EA00D7DD6}"/>
  </bookViews>
  <sheets>
    <sheet name="Income Statement" sheetId="1" r:id="rId1"/>
    <sheet name="Revenue Build" sheetId="4" r:id="rId2"/>
    <sheet name="Employees" sheetId="2" r:id="rId3"/>
    <sheet name="Other Expenses" sheetId="6" r:id="rId4"/>
    <sheet name="Metrics" sheetId="5" state="hidden" r:id="rId5"/>
  </sheets>
  <definedNames>
    <definedName name="CategoryList">Employees!$M$4:$M$9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4" l="1"/>
  <c r="M25" i="4"/>
  <c r="L25" i="4"/>
  <c r="K25" i="4"/>
  <c r="J25" i="4"/>
  <c r="I25" i="4"/>
  <c r="H25" i="4"/>
  <c r="G25" i="4"/>
  <c r="F25" i="4"/>
  <c r="E25" i="4"/>
  <c r="D25" i="4"/>
  <c r="I13" i="6"/>
  <c r="I12" i="6"/>
  <c r="I11" i="6"/>
  <c r="I10" i="6"/>
  <c r="I9" i="6"/>
  <c r="I8" i="6"/>
  <c r="I7" i="6"/>
  <c r="G19" i="2"/>
  <c r="G26" i="2"/>
  <c r="G33" i="2"/>
  <c r="G40" i="2"/>
  <c r="G48" i="2"/>
  <c r="C25" i="4"/>
  <c r="C12" i="4"/>
  <c r="C14" i="4" s="1"/>
  <c r="C17" i="4" s="1"/>
  <c r="P11" i="4"/>
  <c r="D12" i="4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P5" i="4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0" i="2"/>
  <c r="G21" i="2"/>
  <c r="G22" i="2"/>
  <c r="G23" i="2"/>
  <c r="G24" i="2"/>
  <c r="G25" i="2"/>
  <c r="G27" i="2"/>
  <c r="G28" i="2"/>
  <c r="G29" i="2"/>
  <c r="G30" i="2"/>
  <c r="G31" i="2"/>
  <c r="G32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49" i="2"/>
  <c r="G50" i="2"/>
  <c r="G51" i="2"/>
  <c r="G52" i="2"/>
  <c r="G53" i="2"/>
  <c r="G54" i="2"/>
  <c r="G55" i="2"/>
  <c r="G56" i="2"/>
  <c r="G57" i="2"/>
  <c r="G5" i="2"/>
  <c r="N12" i="1" l="1"/>
  <c r="M12" i="1"/>
  <c r="L12" i="1"/>
  <c r="K12" i="1"/>
  <c r="J12" i="1"/>
  <c r="I12" i="1"/>
  <c r="H12" i="1"/>
  <c r="G12" i="1"/>
  <c r="F12" i="1"/>
  <c r="E12" i="1"/>
  <c r="D12" i="1"/>
  <c r="C12" i="1"/>
  <c r="K9" i="2"/>
  <c r="K8" i="2"/>
  <c r="N26" i="1"/>
  <c r="M26" i="1"/>
  <c r="L26" i="1"/>
  <c r="K26" i="1"/>
  <c r="J26" i="1"/>
  <c r="I26" i="1"/>
  <c r="H26" i="1"/>
  <c r="G26" i="1"/>
  <c r="F26" i="1"/>
  <c r="E26" i="1"/>
  <c r="D26" i="1"/>
  <c r="C26" i="1"/>
  <c r="P26" i="1" s="1"/>
  <c r="K12" i="2"/>
  <c r="N24" i="1"/>
  <c r="M24" i="1"/>
  <c r="L24" i="1"/>
  <c r="K24" i="1"/>
  <c r="J24" i="1"/>
  <c r="I24" i="1"/>
  <c r="H24" i="1"/>
  <c r="G24" i="1"/>
  <c r="F24" i="1"/>
  <c r="E24" i="1"/>
  <c r="D24" i="1"/>
  <c r="C24" i="1"/>
  <c r="P24" i="1" s="1"/>
  <c r="K11" i="2"/>
  <c r="N25" i="1"/>
  <c r="M25" i="1"/>
  <c r="L25" i="1"/>
  <c r="K25" i="1"/>
  <c r="J25" i="1"/>
  <c r="I25" i="1"/>
  <c r="H25" i="1"/>
  <c r="G25" i="1"/>
  <c r="F25" i="1"/>
  <c r="E25" i="1"/>
  <c r="D25" i="1"/>
  <c r="C25" i="1"/>
  <c r="P25" i="1" s="1"/>
  <c r="K13" i="2"/>
  <c r="N23" i="1"/>
  <c r="N27" i="1" s="1"/>
  <c r="M23" i="1"/>
  <c r="M27" i="1" s="1"/>
  <c r="L23" i="1"/>
  <c r="L27" i="1" s="1"/>
  <c r="K23" i="1"/>
  <c r="K27" i="1" s="1"/>
  <c r="J23" i="1"/>
  <c r="J27" i="1" s="1"/>
  <c r="I23" i="1"/>
  <c r="I27" i="1" s="1"/>
  <c r="H23" i="1"/>
  <c r="H27" i="1" s="1"/>
  <c r="G23" i="1"/>
  <c r="G27" i="1" s="1"/>
  <c r="F23" i="1"/>
  <c r="F27" i="1" s="1"/>
  <c r="E23" i="1"/>
  <c r="E27" i="1" s="1"/>
  <c r="D23" i="1"/>
  <c r="D27" i="1" s="1"/>
  <c r="C23" i="1"/>
  <c r="K10" i="2"/>
  <c r="N11" i="1"/>
  <c r="M11" i="1"/>
  <c r="L11" i="1"/>
  <c r="K11" i="1"/>
  <c r="J11" i="1"/>
  <c r="I11" i="1"/>
  <c r="H11" i="1"/>
  <c r="G11" i="1"/>
  <c r="F11" i="1"/>
  <c r="E11" i="1"/>
  <c r="D11" i="1"/>
  <c r="C11" i="1"/>
  <c r="K7" i="2"/>
  <c r="C7" i="1"/>
  <c r="P23" i="1"/>
  <c r="P27" i="1" s="1"/>
  <c r="C27" i="1"/>
  <c r="P12" i="1"/>
  <c r="C17" i="1"/>
  <c r="D23" i="4"/>
  <c r="E12" i="4"/>
  <c r="D14" i="4"/>
  <c r="D17" i="4" s="1"/>
  <c r="C8" i="4"/>
  <c r="C19" i="4" s="1"/>
  <c r="C20" i="4" s="1"/>
  <c r="D6" i="4"/>
  <c r="C13" i="1"/>
  <c r="C6" i="1" l="1"/>
  <c r="C27" i="4"/>
  <c r="C8" i="1"/>
  <c r="C19" i="1" s="1"/>
  <c r="C29" i="1"/>
  <c r="C18" i="1"/>
  <c r="P11" i="1"/>
  <c r="P13" i="1" s="1"/>
  <c r="C15" i="1"/>
  <c r="C16" i="1" s="1"/>
  <c r="D13" i="1"/>
  <c r="E13" i="1"/>
  <c r="F13" i="1"/>
  <c r="G13" i="1"/>
  <c r="H13" i="1"/>
  <c r="I13" i="1"/>
  <c r="J13" i="1"/>
  <c r="K13" i="1"/>
  <c r="L13" i="1"/>
  <c r="M13" i="1"/>
  <c r="N13" i="1"/>
  <c r="E23" i="4"/>
  <c r="F12" i="4"/>
  <c r="E14" i="4"/>
  <c r="E17" i="4" s="1"/>
  <c r="E6" i="4"/>
  <c r="D8" i="4"/>
  <c r="D19" i="4" s="1"/>
  <c r="D6" i="1" l="1"/>
  <c r="D20" i="4"/>
  <c r="D7" i="1"/>
  <c r="D27" i="4"/>
  <c r="D8" i="1"/>
  <c r="D19" i="1" s="1"/>
  <c r="D29" i="1" s="1"/>
  <c r="D15" i="1"/>
  <c r="D16" i="1" s="1"/>
  <c r="D17" i="1"/>
  <c r="F23" i="4"/>
  <c r="G12" i="4"/>
  <c r="F14" i="4"/>
  <c r="F17" i="4" s="1"/>
  <c r="F6" i="4"/>
  <c r="E8" i="4"/>
  <c r="E19" i="4" s="1"/>
  <c r="E6" i="1" l="1"/>
  <c r="E20" i="4"/>
  <c r="E7" i="1"/>
  <c r="E27" i="4"/>
  <c r="E8" i="1"/>
  <c r="E19" i="1" s="1"/>
  <c r="E15" i="1"/>
  <c r="E17" i="1"/>
  <c r="E18" i="1" s="1"/>
  <c r="D18" i="1"/>
  <c r="G23" i="4"/>
  <c r="H12" i="4"/>
  <c r="G14" i="4"/>
  <c r="G17" i="4" s="1"/>
  <c r="G6" i="4"/>
  <c r="F8" i="4"/>
  <c r="F19" i="4" s="1"/>
  <c r="F6" i="1" l="1"/>
  <c r="F20" i="4"/>
  <c r="F7" i="1"/>
  <c r="F8" i="1" s="1"/>
  <c r="F19" i="1" s="1"/>
  <c r="F29" i="1" s="1"/>
  <c r="F27" i="4"/>
  <c r="F15" i="1"/>
  <c r="F16" i="1" s="1"/>
  <c r="F17" i="1"/>
  <c r="E16" i="1"/>
  <c r="E29" i="1"/>
  <c r="H23" i="4"/>
  <c r="I12" i="4"/>
  <c r="H14" i="4"/>
  <c r="H17" i="4" s="1"/>
  <c r="H6" i="4"/>
  <c r="G8" i="4"/>
  <c r="G19" i="4" s="1"/>
  <c r="G6" i="1" l="1"/>
  <c r="G20" i="4"/>
  <c r="G7" i="1"/>
  <c r="G17" i="1" s="1"/>
  <c r="G18" i="1" s="1"/>
  <c r="G27" i="4"/>
  <c r="G8" i="1"/>
  <c r="G19" i="1" s="1"/>
  <c r="G15" i="1"/>
  <c r="F18" i="1"/>
  <c r="I23" i="4"/>
  <c r="J12" i="4"/>
  <c r="I14" i="4"/>
  <c r="I17" i="4" s="1"/>
  <c r="I6" i="4"/>
  <c r="H8" i="4"/>
  <c r="H19" i="4" s="1"/>
  <c r="H6" i="1" l="1"/>
  <c r="H20" i="4"/>
  <c r="H7" i="1"/>
  <c r="H27" i="4"/>
  <c r="H8" i="1"/>
  <c r="H19" i="1" s="1"/>
  <c r="H29" i="1" s="1"/>
  <c r="H15" i="1"/>
  <c r="H16" i="1" s="1"/>
  <c r="H17" i="1"/>
  <c r="G16" i="1"/>
  <c r="G29" i="1"/>
  <c r="J23" i="4"/>
  <c r="K12" i="4"/>
  <c r="J14" i="4"/>
  <c r="J17" i="4" s="1"/>
  <c r="J6" i="4"/>
  <c r="I8" i="4"/>
  <c r="I19" i="4" s="1"/>
  <c r="I6" i="1" l="1"/>
  <c r="I20" i="4"/>
  <c r="I7" i="1"/>
  <c r="I27" i="4"/>
  <c r="I8" i="1"/>
  <c r="I19" i="1" s="1"/>
  <c r="I15" i="1"/>
  <c r="I17" i="1"/>
  <c r="I18" i="1" s="1"/>
  <c r="H18" i="1"/>
  <c r="K23" i="4"/>
  <c r="L12" i="4"/>
  <c r="K14" i="4"/>
  <c r="K17" i="4" s="1"/>
  <c r="K6" i="4"/>
  <c r="J8" i="4"/>
  <c r="J19" i="4" s="1"/>
  <c r="J6" i="1" l="1"/>
  <c r="J20" i="4"/>
  <c r="J7" i="1"/>
  <c r="J27" i="4"/>
  <c r="J8" i="1"/>
  <c r="J19" i="1" s="1"/>
  <c r="J29" i="1" s="1"/>
  <c r="J15" i="1"/>
  <c r="J16" i="1" s="1"/>
  <c r="J17" i="1"/>
  <c r="I16" i="1"/>
  <c r="I29" i="1"/>
  <c r="L23" i="4"/>
  <c r="M12" i="4"/>
  <c r="L14" i="4"/>
  <c r="L17" i="4" s="1"/>
  <c r="L6" i="4"/>
  <c r="K8" i="4"/>
  <c r="K19" i="4" s="1"/>
  <c r="K6" i="1" l="1"/>
  <c r="K20" i="4"/>
  <c r="K7" i="1"/>
  <c r="K8" i="1" s="1"/>
  <c r="K19" i="1" s="1"/>
  <c r="K27" i="4"/>
  <c r="K15" i="1"/>
  <c r="K17" i="1"/>
  <c r="K18" i="1" s="1"/>
  <c r="J18" i="1"/>
  <c r="M23" i="4"/>
  <c r="N12" i="4"/>
  <c r="N14" i="4" s="1"/>
  <c r="N17" i="4" s="1"/>
  <c r="M14" i="4"/>
  <c r="M6" i="4"/>
  <c r="L8" i="4"/>
  <c r="L19" i="4" s="1"/>
  <c r="L6" i="1" l="1"/>
  <c r="L20" i="4"/>
  <c r="L7" i="1"/>
  <c r="L17" i="1" s="1"/>
  <c r="L27" i="4"/>
  <c r="L8" i="1"/>
  <c r="L19" i="1" s="1"/>
  <c r="L29" i="1" s="1"/>
  <c r="L15" i="1"/>
  <c r="L16" i="1" s="1"/>
  <c r="P14" i="4"/>
  <c r="M17" i="4"/>
  <c r="P17" i="4" s="1"/>
  <c r="K16" i="1"/>
  <c r="K29" i="1"/>
  <c r="N23" i="4"/>
  <c r="N6" i="4"/>
  <c r="N8" i="4" s="1"/>
  <c r="N19" i="4" s="1"/>
  <c r="M8" i="4"/>
  <c r="N6" i="1" l="1"/>
  <c r="N20" i="4"/>
  <c r="N7" i="1"/>
  <c r="N27" i="4"/>
  <c r="M7" i="1"/>
  <c r="M17" i="1" s="1"/>
  <c r="N15" i="1"/>
  <c r="N16" i="1" s="1"/>
  <c r="L18" i="1"/>
  <c r="P8" i="4"/>
  <c r="P19" i="4" s="1"/>
  <c r="P20" i="4" s="1"/>
  <c r="C35" i="1" s="1"/>
  <c r="C37" i="1" s="1"/>
  <c r="M19" i="4"/>
  <c r="M20" i="4" s="1"/>
  <c r="P25" i="4"/>
  <c r="P27" i="4" s="1"/>
  <c r="N17" i="1" l="1"/>
  <c r="N18" i="1" s="1"/>
  <c r="N8" i="1"/>
  <c r="N19" i="1" s="1"/>
  <c r="N29" i="1" s="1"/>
  <c r="P7" i="1"/>
  <c r="P17" i="1"/>
  <c r="P18" i="1" s="1"/>
  <c r="M18" i="1"/>
  <c r="M6" i="1"/>
  <c r="M27" i="4"/>
  <c r="M8" i="1"/>
  <c r="M19" i="1" s="1"/>
  <c r="M15" i="1"/>
  <c r="P6" i="1"/>
  <c r="P8" i="1" s="1"/>
  <c r="M16" i="1" l="1"/>
  <c r="P15" i="1"/>
  <c r="P16" i="1" s="1"/>
  <c r="M29" i="1"/>
  <c r="P19" i="1"/>
  <c r="P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tc={5666D8CB-4F96-4563-BEA0-EECAC7E89488}</author>
  </authors>
  <commentList>
    <comment ref="B26" authorId="0" shapeId="0" xr:uid="{5666D8CB-4F96-4563-BEA0-EECAC7E8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Finance, HR, C-Suite, IT, etc.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tc={9D1EDDF9-5289-4710-8A1D-D503FCA69896}</author>
  </authors>
  <commentList>
    <comment ref="A40" authorId="0" shapeId="0" xr:uid="{9D1EDDF9-5289-4710-8A1D-D503FCA698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IT, Finance, HR, C-Suite, etc.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tc={5F271BBB-CC0F-429E-85E0-7602FF9EF8D1}</author>
  </authors>
  <commentList>
    <comment ref="A40" authorId="0" shapeId="0" xr:uid="{5F271BBB-CC0F-429E-85E0-7602FF9EF8D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IT, Finance, HR, C-Suite, etc.</t>
      </text>
    </comment>
  </commentList>
</comments>
</file>

<file path=xl/sharedStrings.xml><?xml version="1.0" encoding="utf-8"?>
<sst xmlns="http://schemas.openxmlformats.org/spreadsheetml/2006/main" count="447" uniqueCount="184">
  <si>
    <t>Intern Corp, Inc</t>
  </si>
  <si>
    <t>2026 Financial Model</t>
  </si>
  <si>
    <t>Total</t>
  </si>
  <si>
    <t>Revenue</t>
  </si>
  <si>
    <t>Software Revenue</t>
  </si>
  <si>
    <t>Professional Services Revenue</t>
  </si>
  <si>
    <t>Total Revenue</t>
  </si>
  <si>
    <t>Cost of Sales</t>
  </si>
  <si>
    <t>Cost of Sales - Software</t>
  </si>
  <si>
    <t>Cost of Sales - Services</t>
  </si>
  <si>
    <t>Total Cost of Sales</t>
  </si>
  <si>
    <t>Software Margin</t>
  </si>
  <si>
    <t>%</t>
  </si>
  <si>
    <t>Services Margin</t>
  </si>
  <si>
    <t>Gross Margin</t>
  </si>
  <si>
    <t>Operating Expenses</t>
  </si>
  <si>
    <t>Sales</t>
  </si>
  <si>
    <t>Marketing</t>
  </si>
  <si>
    <t>Engineering and Product</t>
  </si>
  <si>
    <t>General &amp; Administrative</t>
  </si>
  <si>
    <t>Total Operating Expenses</t>
  </si>
  <si>
    <t>EBITDA</t>
  </si>
  <si>
    <t>Total Addressable Market (TAM)</t>
  </si>
  <si>
    <t>Average Revenue Per Unit</t>
  </si>
  <si>
    <t>TAM</t>
  </si>
  <si>
    <t>Revenue Build:</t>
  </si>
  <si>
    <t>NEW CUSTOMERS:</t>
  </si>
  <si>
    <t>New Units Sold</t>
  </si>
  <si>
    <t>Price per Unit</t>
  </si>
  <si>
    <t>Price Increase %</t>
  </si>
  <si>
    <t>New Software Revenue</t>
  </si>
  <si>
    <t>EXISTING CUSTOMERS:</t>
  </si>
  <si>
    <t>Existing Customers Units</t>
  </si>
  <si>
    <t>Avg Revenue per Unit</t>
  </si>
  <si>
    <t>Renewal Increase %</t>
  </si>
  <si>
    <t>Existing Software Revenue</t>
  </si>
  <si>
    <t>Churn Rate</t>
  </si>
  <si>
    <t>Churn $</t>
  </si>
  <si>
    <t>Total Software Revenue</t>
  </si>
  <si>
    <t>Avg Revenue per Unit (ARPU)</t>
  </si>
  <si>
    <t>Services Revenue</t>
  </si>
  <si>
    <t>Total Services Revenue</t>
  </si>
  <si>
    <t>Add details for team members including job title, annual salary, bonus %, and benefits % in to columns C, D, E and F. The annual cost will calculate automatically.</t>
  </si>
  <si>
    <t>Valid Categories (IS mapping)</t>
  </si>
  <si>
    <t>Department</t>
  </si>
  <si>
    <t>Category</t>
  </si>
  <si>
    <t>Job Title</t>
  </si>
  <si>
    <t>Annual Salary</t>
  </si>
  <si>
    <t>Bonus %</t>
  </si>
  <si>
    <t>Benefits %</t>
  </si>
  <si>
    <t>Annual Cost</t>
  </si>
  <si>
    <t>Support</t>
  </si>
  <si>
    <t>Support Manager</t>
  </si>
  <si>
    <t>Sr. Support Engineer</t>
  </si>
  <si>
    <t>Department Totals</t>
  </si>
  <si>
    <t>Support Engineer</t>
  </si>
  <si>
    <t>Support Specialist II</t>
  </si>
  <si>
    <t>CET</t>
  </si>
  <si>
    <t>Support Specialist I</t>
  </si>
  <si>
    <t>Professional Services</t>
  </si>
  <si>
    <t>Help Desk Analyst</t>
  </si>
  <si>
    <t>Customer Support Rep.</t>
  </si>
  <si>
    <t>CET Manager</t>
  </si>
  <si>
    <t>Sr. Customer Enablement Specialist</t>
  </si>
  <si>
    <t>Customer Enablement Specialist II</t>
  </si>
  <si>
    <t>Customer Enablement Specialist I</t>
  </si>
  <si>
    <t>Onboarding Specialist</t>
  </si>
  <si>
    <t>Training and Adoption Specialist</t>
  </si>
  <si>
    <t>Customer Enablement Coordinator</t>
  </si>
  <si>
    <t>Director of Professional Services</t>
  </si>
  <si>
    <t>Sr. Implementation Consultant</t>
  </si>
  <si>
    <t>Implementation Consultant II</t>
  </si>
  <si>
    <t>Implementation Consultant I</t>
  </si>
  <si>
    <t>Solutions Architect</t>
  </si>
  <si>
    <t>Project Manager</t>
  </si>
  <si>
    <t>Technical Consultant</t>
  </si>
  <si>
    <t>Sales Manager</t>
  </si>
  <si>
    <t>VP of Sales</t>
  </si>
  <si>
    <t>Account Executive</t>
  </si>
  <si>
    <t>CST</t>
  </si>
  <si>
    <t>Renewals Manager</t>
  </si>
  <si>
    <t xml:space="preserve">Sales Operations Analyst </t>
  </si>
  <si>
    <t>Field Sales Representative</t>
  </si>
  <si>
    <t xml:space="preserve">Head of Marketing </t>
  </si>
  <si>
    <t>Digital Marketing Manager</t>
  </si>
  <si>
    <t>Public relations Specialist</t>
  </si>
  <si>
    <t>Market Analyst</t>
  </si>
  <si>
    <t>Marketing Specialist</t>
  </si>
  <si>
    <t>Content Marketing Specialist</t>
  </si>
  <si>
    <t>Marketing Coordinator</t>
  </si>
  <si>
    <t>IT Support Specialist</t>
  </si>
  <si>
    <t>CFO</t>
  </si>
  <si>
    <t>Recruiter</t>
  </si>
  <si>
    <t>HR Manager</t>
  </si>
  <si>
    <t>Financial Analyst</t>
  </si>
  <si>
    <t>CEO</t>
  </si>
  <si>
    <t>CIO</t>
  </si>
  <si>
    <t>COO</t>
  </si>
  <si>
    <t>VP of Engineering</t>
  </si>
  <si>
    <t>Engineering Manager</t>
  </si>
  <si>
    <t>Sr. Software Engineer</t>
  </si>
  <si>
    <t>Software Engineer III</t>
  </si>
  <si>
    <t>Software Engineer II</t>
  </si>
  <si>
    <t>Software Engineer I</t>
  </si>
  <si>
    <t>QA Engineer</t>
  </si>
  <si>
    <t>DevOps Engineer</t>
  </si>
  <si>
    <t>Product Manager</t>
  </si>
  <si>
    <t>Prodcut Designer</t>
  </si>
  <si>
    <t>Add details for expenses in to columns C and D and include in annual cost in column E</t>
  </si>
  <si>
    <t>Expense Category</t>
  </si>
  <si>
    <t>Description/Vendor</t>
  </si>
  <si>
    <t>Software Tools &amp; Licensing</t>
  </si>
  <si>
    <t>Jira</t>
  </si>
  <si>
    <t>Cloud Hosting &amp; Infrastructure</t>
  </si>
  <si>
    <t>AWS Support Environment</t>
  </si>
  <si>
    <t>Training &amp; Certification</t>
  </si>
  <si>
    <t>Vendor Product Training</t>
  </si>
  <si>
    <t>Travel &amp; Client Site Visits</t>
  </si>
  <si>
    <t>Airfare, Lodging, Mileage</t>
  </si>
  <si>
    <t>Equipment &amp; Hardware</t>
  </si>
  <si>
    <t>Laptops, Headsets, Monitors</t>
  </si>
  <si>
    <t>Recruiting &amp; Onboarding</t>
  </si>
  <si>
    <t>Job Postings &amp; Background Checks</t>
  </si>
  <si>
    <t>Office Supplies &amp; Misc.</t>
  </si>
  <si>
    <t>General Departmnet Supplies</t>
  </si>
  <si>
    <t>Customer Enablement Platform</t>
  </si>
  <si>
    <t>LMS &amp; Training Software</t>
  </si>
  <si>
    <t>Travel &amp; Onsite Enablement Visits</t>
  </si>
  <si>
    <t>Airfare &amp; Lodging</t>
  </si>
  <si>
    <t>Training Materials &amp; Content Development</t>
  </si>
  <si>
    <t>Freelance Instructional Designer</t>
  </si>
  <si>
    <t>Laptops &amp; Presentation Equipment</t>
  </si>
  <si>
    <t>Zoom &amp; Miro</t>
  </si>
  <si>
    <t>Job Postings &amp; Assessments</t>
  </si>
  <si>
    <t>General Deparment Supplies</t>
  </si>
  <si>
    <t>Project Management Software</t>
  </si>
  <si>
    <t>Smartsheet License</t>
  </si>
  <si>
    <t>Tracel &amp; Client Implementation Visits</t>
  </si>
  <si>
    <t>Subcontractor &amp; Consulting Fees</t>
  </si>
  <si>
    <t>Overflow Implementation Support</t>
  </si>
  <si>
    <t>Laptops &amp; Peripherals</t>
  </si>
  <si>
    <t>Technical Product Certification</t>
  </si>
  <si>
    <t>Technical Documentation Tools</t>
  </si>
  <si>
    <t>cost to acquire customers</t>
  </si>
  <si>
    <t xml:space="preserve">Facilities </t>
  </si>
  <si>
    <t>phone/internet</t>
  </si>
  <si>
    <t xml:space="preserve">software/subscribtions </t>
  </si>
  <si>
    <t>CRM</t>
  </si>
  <si>
    <t xml:space="preserve">Equipment </t>
  </si>
  <si>
    <t>Computers</t>
  </si>
  <si>
    <t xml:space="preserve">Travel  </t>
  </si>
  <si>
    <t>Negotiating on-site</t>
  </si>
  <si>
    <t>Software</t>
  </si>
  <si>
    <t xml:space="preserve">Commission Tracking </t>
  </si>
  <si>
    <t xml:space="preserve">Sales enablement(giving the tools and resources necessary) </t>
  </si>
  <si>
    <t>Nessesary software for work</t>
  </si>
  <si>
    <t>Travel</t>
  </si>
  <si>
    <t>Travel for events/sales</t>
  </si>
  <si>
    <t>Events</t>
  </si>
  <si>
    <t>Host events to get sales (combo with other teams?)</t>
  </si>
  <si>
    <t>Advertising</t>
  </si>
  <si>
    <t>Ads to draw attention</t>
  </si>
  <si>
    <t>Social</t>
  </si>
  <si>
    <t>Means, personal for travel and for clients</t>
  </si>
  <si>
    <t>For Products or Software</t>
  </si>
  <si>
    <t>Computers mostly</t>
  </si>
  <si>
    <t>ERP, FP&amp;A</t>
  </si>
  <si>
    <t>Office Rent &amp; Facilities</t>
  </si>
  <si>
    <t>Corporate Headquarters Lease</t>
  </si>
  <si>
    <t>Legal &amp; Professional Fees</t>
  </si>
  <si>
    <t>Outside Counsel Retainer</t>
  </si>
  <si>
    <t>Insurance</t>
  </si>
  <si>
    <t>General Liability, D&amp;O, Cyber</t>
  </si>
  <si>
    <t>Accounting &amp; Audit Services</t>
  </si>
  <si>
    <t>External Audit Firm</t>
  </si>
  <si>
    <t>HR &amp; Compliance Training</t>
  </si>
  <si>
    <t>Job Postings and Background Checks</t>
  </si>
  <si>
    <t>General Department Supplies</t>
  </si>
  <si>
    <t>Hardware</t>
  </si>
  <si>
    <t>CAC</t>
  </si>
  <si>
    <t>Average Revenue Per Customer</t>
  </si>
  <si>
    <t>Monthly Recurring Revenue (MRR)</t>
  </si>
  <si>
    <t>Annual Recurring Revenue (ARR)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</si>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</sst>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&quot;$&quot;#,##0.00"/>
    <numFmt numFmtId="167" formatCode="&quot;$&quot;#,##0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166" fontId="0" fillId="0" borderId="0" xfId="0" applyNumberFormat="1"/>
    <xf numFmtId="166" fontId="2" fillId="0" borderId="0" xfId="0" applyNumberFormat="1" applyFont="1"/>
    <xf numFmtId="17" fontId="2" fillId="2" borderId="0" xfId="0" applyNumberFormat="1" applyFont="1" applyFill="1" applyAlignment="1">
      <alignment horizontal="center"/>
    </xf>
    <xf numFmtId="0" fontId="5" fillId="4" borderId="0" xfId="0" applyFont="1" applyFill="1"/>
    <xf numFmtId="166" fontId="5" fillId="4" borderId="0" xfId="0" applyNumberFormat="1" applyFont="1" applyFill="1"/>
    <xf numFmtId="166" fontId="5" fillId="3" borderId="0" xfId="0" applyNumberFormat="1" applyFont="1" applyFill="1"/>
    <xf numFmtId="43" fontId="2" fillId="0" borderId="0" xfId="0" applyNumberFormat="1" applyFont="1"/>
    <xf numFmtId="9" fontId="5" fillId="4" borderId="2" xfId="0" applyNumberFormat="1" applyFont="1" applyFill="1" applyBorder="1"/>
    <xf numFmtId="9" fontId="5" fillId="3" borderId="2" xfId="0" applyNumberFormat="1" applyFont="1" applyFill="1" applyBorder="1"/>
    <xf numFmtId="166" fontId="5" fillId="0" borderId="0" xfId="0" applyNumberFormat="1" applyFont="1"/>
    <xf numFmtId="167" fontId="0" fillId="0" borderId="0" xfId="1" applyNumberFormat="1" applyFont="1"/>
    <xf numFmtId="167" fontId="2" fillId="0" borderId="0" xfId="0" applyNumberFormat="1" applyFont="1"/>
    <xf numFmtId="167" fontId="0" fillId="0" borderId="1" xfId="1" applyNumberFormat="1" applyFont="1" applyBorder="1"/>
    <xf numFmtId="167" fontId="2" fillId="0" borderId="2" xfId="0" applyNumberFormat="1" applyFont="1" applyBorder="1"/>
    <xf numFmtId="167" fontId="2" fillId="0" borderId="0" xfId="1" applyNumberFormat="1" applyFont="1"/>
    <xf numFmtId="167" fontId="0" fillId="0" borderId="2" xfId="1" applyNumberFormat="1" applyFont="1" applyBorder="1"/>
    <xf numFmtId="164" fontId="2" fillId="0" borderId="0" xfId="1" applyNumberFormat="1" applyFont="1"/>
    <xf numFmtId="164" fontId="2" fillId="0" borderId="3" xfId="1" applyNumberFormat="1" applyFont="1" applyBorder="1"/>
    <xf numFmtId="9" fontId="4" fillId="0" borderId="0" xfId="1" applyNumberFormat="1" applyFont="1" applyAlignment="1">
      <alignment horizontal="right"/>
    </xf>
    <xf numFmtId="0" fontId="2" fillId="5" borderId="0" xfId="0" applyFont="1" applyFill="1"/>
    <xf numFmtId="166" fontId="2" fillId="5" borderId="0" xfId="0" applyNumberFormat="1" applyFont="1" applyFill="1"/>
    <xf numFmtId="0" fontId="6" fillId="5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167" fontId="0" fillId="0" borderId="0" xfId="0" applyNumberFormat="1"/>
    <xf numFmtId="0" fontId="12" fillId="0" borderId="0" xfId="0" applyFont="1"/>
    <xf numFmtId="0" fontId="13" fillId="0" borderId="0" xfId="0" applyFont="1"/>
    <xf numFmtId="166" fontId="2" fillId="0" borderId="0" xfId="0" applyNumberFormat="1" applyFont="1" applyAlignment="1">
      <alignment horizontal="right"/>
    </xf>
    <xf numFmtId="0" fontId="14" fillId="0" borderId="0" xfId="0" applyFont="1" applyAlignment="1">
      <alignment horizontal="left" indent="2"/>
    </xf>
    <xf numFmtId="164" fontId="2" fillId="0" borderId="0" xfId="1" applyNumberFormat="1" applyFont="1" applyAlignment="1">
      <alignment horizontal="right"/>
    </xf>
    <xf numFmtId="164" fontId="5" fillId="4" borderId="0" xfId="1" applyNumberFormat="1" applyFont="1" applyFill="1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1" fillId="0" borderId="0" xfId="1" applyNumberFormat="1" applyFont="1" applyFill="1"/>
    <xf numFmtId="165" fontId="1" fillId="0" borderId="0" xfId="2" applyNumberFormat="1" applyFont="1" applyFill="1"/>
    <xf numFmtId="164" fontId="1" fillId="0" borderId="0" xfId="0" applyNumberFormat="1" applyFont="1"/>
    <xf numFmtId="0" fontId="2" fillId="0" borderId="1" xfId="0" applyFont="1" applyBorder="1"/>
    <xf numFmtId="164" fontId="1" fillId="0" borderId="0" xfId="1" applyNumberFormat="1" applyFont="1"/>
    <xf numFmtId="166" fontId="1" fillId="0" borderId="0" xfId="0" applyNumberFormat="1" applyFont="1"/>
    <xf numFmtId="164" fontId="1" fillId="0" borderId="1" xfId="1" applyNumberFormat="1" applyFont="1" applyBorder="1" applyAlignment="1">
      <alignment horizontal="center"/>
    </xf>
    <xf numFmtId="164" fontId="9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 Koch" id="{EEC0D4CE-5318-486E-8D85-A8A236BE4BA8}" userId="S::brad.koch@evisions.com::dc667498-cc5e-4104-808f-07480371a0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dT="2025-07-08T15:28:06.74" personId="{EEC0D4CE-5318-486E-8D85-A8A236BE4BA8}" id="{5666D8CB-4F96-4563-BEA0-EECAC7E89488}">
    <text>Includes Finance, HR, C-Suite, IT, etc.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0" dT="2025-07-08T15:27:53.60" personId="{EEC0D4CE-5318-486E-8D85-A8A236BE4BA8}" id="{9D1EDDF9-5289-4710-8A1D-D503FCA69896}">
    <text>Includes IT, Finance, HR, C-Suite, etc.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0" dT="2025-07-08T15:27:53.60" personId="{EEC0D4CE-5318-486E-8D85-A8A236BE4BA8}" id="{5F271BBB-CC0F-429E-85E0-7602FF9EF8D1}">
    <text>Includes IT, Finance, HR, C-Suite, etc.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0C23EB-6E8E-4F73-BEEF-88D42B513A9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d56be5c-c3ad-4e7e-83ff-cec9026b22e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5FFB-30C6-4546-8FE6-6F48152A5A96}">
  <sheetPr>
    <tabColor theme="8" tint="0.79998168889431442"/>
  </sheetPr>
  <dimension ref="A1:P37"/>
  <sheetViews>
    <sheetView zoomScale="115" zoomScaleNormal="115" workbookViewId="0">
      <selection activeCell="C37" sqref="C37"/>
    </sheetView>
  </sheetViews>
  <sheetFormatPr defaultColWidth="11" defaultRowHeight="15.6"/>
  <cols>
    <col min="1" max="1" width="4.75" customWidth="1"/>
    <col min="2" max="2" width="28.625" bestFit="1" customWidth="1"/>
    <col min="3" max="3" width="13.75" bestFit="1" customWidth="1"/>
    <col min="4" max="14" width="12.125" bestFit="1" customWidth="1"/>
    <col min="15" max="15" width="4.375" customWidth="1"/>
  </cols>
  <sheetData>
    <row r="1" spans="1:16">
      <c r="A1" s="2" t="s">
        <v>0</v>
      </c>
    </row>
    <row r="2" spans="1:16">
      <c r="A2" s="31" t="s">
        <v>1</v>
      </c>
    </row>
    <row r="4" spans="1:16">
      <c r="C4" s="6">
        <v>46023</v>
      </c>
      <c r="D4" s="6">
        <f>EOMONTH(C4,1)</f>
        <v>46081</v>
      </c>
      <c r="E4" s="6">
        <f t="shared" ref="E4:N4" si="0">EOMONTH(D4,1)</f>
        <v>46112</v>
      </c>
      <c r="F4" s="6">
        <f t="shared" si="0"/>
        <v>46142</v>
      </c>
      <c r="G4" s="6">
        <f t="shared" si="0"/>
        <v>46173</v>
      </c>
      <c r="H4" s="6">
        <f t="shared" si="0"/>
        <v>46203</v>
      </c>
      <c r="I4" s="6">
        <f t="shared" si="0"/>
        <v>46234</v>
      </c>
      <c r="J4" s="6">
        <f t="shared" si="0"/>
        <v>46265</v>
      </c>
      <c r="K4" s="6">
        <f t="shared" si="0"/>
        <v>46295</v>
      </c>
      <c r="L4" s="6">
        <f t="shared" si="0"/>
        <v>46326</v>
      </c>
      <c r="M4" s="6">
        <f t="shared" si="0"/>
        <v>46356</v>
      </c>
      <c r="N4" s="6">
        <f t="shared" si="0"/>
        <v>46387</v>
      </c>
      <c r="P4" s="6" t="s">
        <v>2</v>
      </c>
    </row>
    <row r="5" spans="1:16">
      <c r="B5" s="32" t="s">
        <v>3</v>
      </c>
    </row>
    <row r="6" spans="1:16">
      <c r="B6" s="26" t="s">
        <v>4</v>
      </c>
      <c r="C6" s="14">
        <f>'Revenue Build'!C19</f>
        <v>392000</v>
      </c>
      <c r="D6" s="14">
        <f>'Revenue Build'!D19</f>
        <v>468000</v>
      </c>
      <c r="E6" s="14">
        <f>'Revenue Build'!E19</f>
        <v>635200</v>
      </c>
      <c r="F6" s="14">
        <f>'Revenue Build'!F19</f>
        <v>696008</v>
      </c>
      <c r="G6" s="14">
        <f>'Revenue Build'!G19</f>
        <v>784424.08</v>
      </c>
      <c r="H6" s="14">
        <f>'Revenue Build'!H19</f>
        <v>921708.84239999996</v>
      </c>
      <c r="I6" s="14">
        <f>'Revenue Build'!I19</f>
        <v>1025871.979248</v>
      </c>
      <c r="J6" s="14">
        <f>'Revenue Build'!J19</f>
        <v>1125780.6378254399</v>
      </c>
      <c r="K6" s="14">
        <f>'Revenue Build'!K19</f>
        <v>1274239.4766739199</v>
      </c>
      <c r="L6" s="14">
        <f>'Revenue Build'!L19</f>
        <v>1363760.94603456</v>
      </c>
      <c r="M6" s="14">
        <f>'Revenue Build'!M19</f>
        <v>1514534.220519552</v>
      </c>
      <c r="N6" s="14">
        <f>'Revenue Build'!N19</f>
        <v>1661727.8845416568</v>
      </c>
      <c r="O6" s="33"/>
      <c r="P6" s="15">
        <f>SUM(C6:N6)</f>
        <v>11863256.067243127</v>
      </c>
    </row>
    <row r="7" spans="1:16">
      <c r="B7" s="26" t="s">
        <v>5</v>
      </c>
      <c r="C7" s="16">
        <f>'Revenue Build'!C25</f>
        <v>0</v>
      </c>
      <c r="D7" s="16">
        <f>'Revenue Build'!D25</f>
        <v>0</v>
      </c>
      <c r="E7" s="16">
        <f>'Revenue Build'!E25</f>
        <v>10609</v>
      </c>
      <c r="F7" s="16">
        <f>'Revenue Build'!F25</f>
        <v>10927.27</v>
      </c>
      <c r="G7" s="16">
        <f>'Revenue Build'!G25</f>
        <v>11255.088100000001</v>
      </c>
      <c r="H7" s="16">
        <f>'Revenue Build'!H25</f>
        <v>16882.632150000001</v>
      </c>
      <c r="I7" s="16">
        <f>'Revenue Build'!I25</f>
        <v>16882.632150000001</v>
      </c>
      <c r="J7" s="16">
        <f>'Revenue Build'!J25</f>
        <v>16882.632150000001</v>
      </c>
      <c r="K7" s="16">
        <f>'Revenue Build'!K25</f>
        <v>22510.176200000002</v>
      </c>
      <c r="L7" s="16">
        <f>'Revenue Build'!L25</f>
        <v>22510.176200000002</v>
      </c>
      <c r="M7" s="16">
        <f>'Revenue Build'!M25</f>
        <v>22510.176200000002</v>
      </c>
      <c r="N7" s="16">
        <f>'Revenue Build'!N25</f>
        <v>28137.720250000002</v>
      </c>
      <c r="O7" s="33"/>
      <c r="P7" s="17">
        <f>SUM(C7:N7)</f>
        <v>179107.50340000005</v>
      </c>
    </row>
    <row r="8" spans="1:16">
      <c r="B8" s="32" t="s">
        <v>6</v>
      </c>
      <c r="C8" s="18">
        <f>SUM(C6:C7)</f>
        <v>392000</v>
      </c>
      <c r="D8" s="18">
        <f t="shared" ref="D8:P8" si="1">SUM(D6:D7)</f>
        <v>468000</v>
      </c>
      <c r="E8" s="18">
        <f t="shared" si="1"/>
        <v>645809</v>
      </c>
      <c r="F8" s="18">
        <f t="shared" si="1"/>
        <v>706935.27</v>
      </c>
      <c r="G8" s="18">
        <f t="shared" si="1"/>
        <v>795679.16810000001</v>
      </c>
      <c r="H8" s="18">
        <f t="shared" si="1"/>
        <v>938591.47454999993</v>
      </c>
      <c r="I8" s="18">
        <f t="shared" si="1"/>
        <v>1042754.6113979999</v>
      </c>
      <c r="J8" s="18">
        <f t="shared" si="1"/>
        <v>1142663.2699754399</v>
      </c>
      <c r="K8" s="18">
        <f t="shared" si="1"/>
        <v>1296749.65287392</v>
      </c>
      <c r="L8" s="18">
        <f t="shared" si="1"/>
        <v>1386271.1222345601</v>
      </c>
      <c r="M8" s="18">
        <f t="shared" si="1"/>
        <v>1537044.3967195521</v>
      </c>
      <c r="N8" s="18">
        <f t="shared" si="1"/>
        <v>1689865.6047916568</v>
      </c>
      <c r="O8" s="33"/>
      <c r="P8" s="18">
        <f t="shared" si="1"/>
        <v>12042363.570643127</v>
      </c>
    </row>
    <row r="9" spans="1:16">
      <c r="B9" s="34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B10" s="32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B11" s="26" t="s">
        <v>8</v>
      </c>
      <c r="C11" s="14">
        <f>(SUMIF(Employees!$B:$B,'Income Statement'!$B11,Employees!$G:$G)/12)+(SUMIF('Other Expenses'!$B:$B,'Income Statement'!$B11,'Other Expenses'!$E:$E)/12)</f>
        <v>111846.66666666666</v>
      </c>
      <c r="D11" s="14">
        <f>(SUMIF(Employees!$B:$B,'Income Statement'!$B11,Employees!$G:$G)/12)+(SUMIF('Other Expenses'!$B:$B,'Income Statement'!$B11,'Other Expenses'!$E:$E)/12)</f>
        <v>111846.66666666666</v>
      </c>
      <c r="E11" s="14">
        <f>(SUMIF(Employees!$B:$B,'Income Statement'!$B11,Employees!$G:$G)/12)+(SUMIF('Other Expenses'!$B:$B,'Income Statement'!$B11,'Other Expenses'!$E:$E)/12)</f>
        <v>111846.66666666666</v>
      </c>
      <c r="F11" s="14">
        <f>(SUMIF(Employees!$B:$B,'Income Statement'!$B11,Employees!$G:$G)/12)+(SUMIF('Other Expenses'!$B:$B,'Income Statement'!$B11,'Other Expenses'!$E:$E)/12)</f>
        <v>111846.66666666666</v>
      </c>
      <c r="G11" s="14">
        <f>(SUMIF(Employees!$B:$B,'Income Statement'!$B11,Employees!$G:$G)/12)+(SUMIF('Other Expenses'!$B:$B,'Income Statement'!$B11,'Other Expenses'!$E:$E)/12)</f>
        <v>111846.66666666666</v>
      </c>
      <c r="H11" s="14">
        <f>(SUMIF(Employees!$B:$B,'Income Statement'!$B11,Employees!$G:$G)/12)+(SUMIF('Other Expenses'!$B:$B,'Income Statement'!$B11,'Other Expenses'!$E:$E)/12)</f>
        <v>111846.66666666666</v>
      </c>
      <c r="I11" s="14">
        <f>(SUMIF(Employees!$B:$B,'Income Statement'!$B11,Employees!$G:$G)/12)+(SUMIF('Other Expenses'!$B:$B,'Income Statement'!$B11,'Other Expenses'!$E:$E)/12)</f>
        <v>111846.66666666666</v>
      </c>
      <c r="J11" s="14">
        <f>(SUMIF(Employees!$B:$B,'Income Statement'!$B11,Employees!$G:$G)/12)+(SUMIF('Other Expenses'!$B:$B,'Income Statement'!$B11,'Other Expenses'!$E:$E)/12)</f>
        <v>111846.66666666666</v>
      </c>
      <c r="K11" s="14">
        <f>(SUMIF(Employees!$B:$B,'Income Statement'!$B11,Employees!$G:$G)/12)+(SUMIF('Other Expenses'!$B:$B,'Income Statement'!$B11,'Other Expenses'!$E:$E)/12)</f>
        <v>111846.66666666666</v>
      </c>
      <c r="L11" s="14">
        <f>(SUMIF(Employees!$B:$B,'Income Statement'!$B11,Employees!$G:$G)/12)+(SUMIF('Other Expenses'!$B:$B,'Income Statement'!$B11,'Other Expenses'!$E:$E)/12)</f>
        <v>111846.66666666666</v>
      </c>
      <c r="M11" s="14">
        <f>(SUMIF(Employees!$B:$B,'Income Statement'!$B11,Employees!$G:$G)/12)+(SUMIF('Other Expenses'!$B:$B,'Income Statement'!$B11,'Other Expenses'!$E:$E)/12)</f>
        <v>111846.66666666666</v>
      </c>
      <c r="N11" s="14">
        <f>(SUMIF(Employees!$B:$B,'Income Statement'!$B11,Employees!$G:$G)/12)+(SUMIF('Other Expenses'!$B:$B,'Income Statement'!$B11,'Other Expenses'!$E:$E)/12)</f>
        <v>111846.66666666666</v>
      </c>
      <c r="O11" s="33"/>
      <c r="P11" s="15">
        <f>SUM(C11:N11)</f>
        <v>1342160</v>
      </c>
    </row>
    <row r="12" spans="1:16">
      <c r="B12" s="26" t="s">
        <v>9</v>
      </c>
      <c r="C12" s="19">
        <f>(SUMIF(Employees!$B:$B,'Income Statement'!$B12,Employees!$G:$G)/12)+(SUMIF('Other Expenses'!$B:$B,'Income Statement'!$B12,'Other Expenses'!$E:$E)/12)</f>
        <v>80799.166666666672</v>
      </c>
      <c r="D12" s="19">
        <f>(SUMIF(Employees!$B:$B,'Income Statement'!$B12,Employees!$G:$G)/12)+(SUMIF('Other Expenses'!$B:$B,'Income Statement'!$B12,'Other Expenses'!$E:$E)/12)</f>
        <v>80799.166666666672</v>
      </c>
      <c r="E12" s="19">
        <f>(SUMIF(Employees!$B:$B,'Income Statement'!$B12,Employees!$G:$G)/12)+(SUMIF('Other Expenses'!$B:$B,'Income Statement'!$B12,'Other Expenses'!$E:$E)/12)</f>
        <v>80799.166666666672</v>
      </c>
      <c r="F12" s="19">
        <f>(SUMIF(Employees!$B:$B,'Income Statement'!$B12,Employees!$G:$G)/12)+(SUMIF('Other Expenses'!$B:$B,'Income Statement'!$B12,'Other Expenses'!$E:$E)/12)</f>
        <v>80799.166666666672</v>
      </c>
      <c r="G12" s="19">
        <f>(SUMIF(Employees!$B:$B,'Income Statement'!$B12,Employees!$G:$G)/12)+(SUMIF('Other Expenses'!$B:$B,'Income Statement'!$B12,'Other Expenses'!$E:$E)/12)</f>
        <v>80799.166666666672</v>
      </c>
      <c r="H12" s="19">
        <f>(SUMIF(Employees!$B:$B,'Income Statement'!$B12,Employees!$G:$G)/12)+(SUMIF('Other Expenses'!$B:$B,'Income Statement'!$B12,'Other Expenses'!$E:$E)/12)</f>
        <v>80799.166666666672</v>
      </c>
      <c r="I12" s="19">
        <f>(SUMIF(Employees!$B:$B,'Income Statement'!$B12,Employees!$G:$G)/12)+(SUMIF('Other Expenses'!$B:$B,'Income Statement'!$B12,'Other Expenses'!$E:$E)/12)</f>
        <v>80799.166666666672</v>
      </c>
      <c r="J12" s="19">
        <f>(SUMIF(Employees!$B:$B,'Income Statement'!$B12,Employees!$G:$G)/12)+(SUMIF('Other Expenses'!$B:$B,'Income Statement'!$B12,'Other Expenses'!$E:$E)/12)</f>
        <v>80799.166666666672</v>
      </c>
      <c r="K12" s="19">
        <f>(SUMIF(Employees!$B:$B,'Income Statement'!$B12,Employees!$G:$G)/12)+(SUMIF('Other Expenses'!$B:$B,'Income Statement'!$B12,'Other Expenses'!$E:$E)/12)</f>
        <v>80799.166666666672</v>
      </c>
      <c r="L12" s="19">
        <f>(SUMIF(Employees!$B:$B,'Income Statement'!$B12,Employees!$G:$G)/12)+(SUMIF('Other Expenses'!$B:$B,'Income Statement'!$B12,'Other Expenses'!$E:$E)/12)</f>
        <v>80799.166666666672</v>
      </c>
      <c r="M12" s="19">
        <f>(SUMIF(Employees!$B:$B,'Income Statement'!$B12,Employees!$G:$G)/12)+(SUMIF('Other Expenses'!$B:$B,'Income Statement'!$B12,'Other Expenses'!$E:$E)/12)</f>
        <v>80799.166666666672</v>
      </c>
      <c r="N12" s="19">
        <f>(SUMIF(Employees!$B:$B,'Income Statement'!$B12,Employees!$G:$G)/12)+(SUMIF('Other Expenses'!$B:$B,'Income Statement'!$B12,'Other Expenses'!$E:$E)/12)</f>
        <v>80799.166666666672</v>
      </c>
      <c r="O12" s="33"/>
      <c r="P12" s="17">
        <f>SUM(C12:N12)</f>
        <v>969589.99999999988</v>
      </c>
    </row>
    <row r="13" spans="1:16">
      <c r="B13" s="32" t="s">
        <v>10</v>
      </c>
      <c r="C13" s="18">
        <f>SUM(C11:C12)</f>
        <v>192645.83333333331</v>
      </c>
      <c r="D13" s="18">
        <f t="shared" ref="D13:P13" si="2">SUM(D11:D12)</f>
        <v>192645.83333333331</v>
      </c>
      <c r="E13" s="18">
        <f t="shared" si="2"/>
        <v>192645.83333333331</v>
      </c>
      <c r="F13" s="18">
        <f t="shared" si="2"/>
        <v>192645.83333333331</v>
      </c>
      <c r="G13" s="18">
        <f t="shared" si="2"/>
        <v>192645.83333333331</v>
      </c>
      <c r="H13" s="18">
        <f t="shared" si="2"/>
        <v>192645.83333333331</v>
      </c>
      <c r="I13" s="18">
        <f t="shared" si="2"/>
        <v>192645.83333333331</v>
      </c>
      <c r="J13" s="18">
        <f t="shared" si="2"/>
        <v>192645.83333333331</v>
      </c>
      <c r="K13" s="18">
        <f t="shared" si="2"/>
        <v>192645.83333333331</v>
      </c>
      <c r="L13" s="18">
        <f t="shared" si="2"/>
        <v>192645.83333333331</v>
      </c>
      <c r="M13" s="18">
        <f t="shared" si="2"/>
        <v>192645.83333333331</v>
      </c>
      <c r="N13" s="18">
        <f t="shared" si="2"/>
        <v>192645.83333333331</v>
      </c>
      <c r="O13" s="33"/>
      <c r="P13" s="18">
        <f t="shared" si="2"/>
        <v>2311750</v>
      </c>
    </row>
    <row r="14" spans="1:16">
      <c r="B14" s="26"/>
      <c r="C14" s="14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B15" s="26" t="s">
        <v>11</v>
      </c>
      <c r="C15" s="14">
        <f>C6-C11</f>
        <v>280153.33333333337</v>
      </c>
      <c r="D15" s="14">
        <f t="shared" ref="D15:N15" si="3">D6-D11</f>
        <v>356153.33333333337</v>
      </c>
      <c r="E15" s="14">
        <f t="shared" si="3"/>
        <v>523353.33333333337</v>
      </c>
      <c r="F15" s="14">
        <f t="shared" si="3"/>
        <v>584161.33333333337</v>
      </c>
      <c r="G15" s="14">
        <f t="shared" si="3"/>
        <v>672577.41333333333</v>
      </c>
      <c r="H15" s="14">
        <f t="shared" si="3"/>
        <v>809862.17573333334</v>
      </c>
      <c r="I15" s="14">
        <f t="shared" si="3"/>
        <v>914025.31258133333</v>
      </c>
      <c r="J15" s="14">
        <f t="shared" si="3"/>
        <v>1013933.9711587733</v>
      </c>
      <c r="K15" s="14">
        <f t="shared" si="3"/>
        <v>1162392.8100072532</v>
      </c>
      <c r="L15" s="14">
        <f t="shared" si="3"/>
        <v>1251914.2793678932</v>
      </c>
      <c r="M15" s="14">
        <f t="shared" si="3"/>
        <v>1402687.5538528853</v>
      </c>
      <c r="N15" s="14">
        <f t="shared" si="3"/>
        <v>1549881.2178749901</v>
      </c>
      <c r="O15" s="33"/>
      <c r="P15" s="15">
        <f>SUM(C15:N15)</f>
        <v>10521096.067243129</v>
      </c>
    </row>
    <row r="16" spans="1:16">
      <c r="B16" s="26" t="s">
        <v>12</v>
      </c>
      <c r="C16" s="22">
        <f>IFERROR(C15/C6,"n/a")</f>
        <v>0.71467687074829944</v>
      </c>
      <c r="D16" s="22">
        <f t="shared" ref="D16:P16" si="4">IFERROR(D15/D6,"n/a")</f>
        <v>0.76101139601139611</v>
      </c>
      <c r="E16" s="22">
        <f t="shared" si="4"/>
        <v>0.8239189756507137</v>
      </c>
      <c r="F16" s="22">
        <f t="shared" si="4"/>
        <v>0.83930261337992285</v>
      </c>
      <c r="G16" s="22">
        <f t="shared" si="4"/>
        <v>0.85741556191560742</v>
      </c>
      <c r="H16" s="22">
        <f t="shared" si="4"/>
        <v>0.87865293081551255</v>
      </c>
      <c r="I16" s="22">
        <f t="shared" si="4"/>
        <v>0.89097405043789757</v>
      </c>
      <c r="J16" s="22">
        <f t="shared" si="4"/>
        <v>0.90064967995655898</v>
      </c>
      <c r="K16" s="22">
        <f t="shared" si="4"/>
        <v>0.91222476723244028</v>
      </c>
      <c r="L16" s="22">
        <f t="shared" si="4"/>
        <v>0.91798660388986353</v>
      </c>
      <c r="M16" s="22">
        <f t="shared" si="4"/>
        <v>0.92615111289575325</v>
      </c>
      <c r="N16" s="22">
        <f t="shared" si="4"/>
        <v>0.93269254990114303</v>
      </c>
      <c r="O16" s="33"/>
      <c r="P16" s="22">
        <f t="shared" si="4"/>
        <v>0.88686411282093325</v>
      </c>
    </row>
    <row r="17" spans="2:16">
      <c r="B17" s="26" t="s">
        <v>13</v>
      </c>
      <c r="C17" s="14">
        <f>C7-C12</f>
        <v>-80799.166666666672</v>
      </c>
      <c r="D17" s="14">
        <f t="shared" ref="D17:N17" si="5">D7-D12</f>
        <v>-80799.166666666672</v>
      </c>
      <c r="E17" s="14">
        <f t="shared" si="5"/>
        <v>-70190.166666666672</v>
      </c>
      <c r="F17" s="14">
        <f t="shared" si="5"/>
        <v>-69871.896666666667</v>
      </c>
      <c r="G17" s="14">
        <f t="shared" si="5"/>
        <v>-69544.078566666663</v>
      </c>
      <c r="H17" s="14">
        <f t="shared" si="5"/>
        <v>-63916.534516666667</v>
      </c>
      <c r="I17" s="14">
        <f t="shared" si="5"/>
        <v>-63916.534516666667</v>
      </c>
      <c r="J17" s="14">
        <f t="shared" si="5"/>
        <v>-63916.534516666667</v>
      </c>
      <c r="K17" s="14">
        <f t="shared" si="5"/>
        <v>-58288.99046666667</v>
      </c>
      <c r="L17" s="14">
        <f t="shared" si="5"/>
        <v>-58288.99046666667</v>
      </c>
      <c r="M17" s="14">
        <f t="shared" si="5"/>
        <v>-58288.99046666667</v>
      </c>
      <c r="N17" s="14">
        <f t="shared" si="5"/>
        <v>-52661.446416666673</v>
      </c>
      <c r="O17" s="33"/>
      <c r="P17" s="15">
        <f>SUM(C17:N17)</f>
        <v>-790482.49659999995</v>
      </c>
    </row>
    <row r="18" spans="2:16">
      <c r="B18" s="26" t="s">
        <v>12</v>
      </c>
      <c r="C18" s="22" t="str">
        <f>IFERROR(C17/C7,"n/a")</f>
        <v>n/a</v>
      </c>
      <c r="D18" s="22" t="str">
        <f t="shared" ref="D18:P18" si="6">IFERROR(D17/D7,"n/a")</f>
        <v>n/a</v>
      </c>
      <c r="E18" s="22">
        <f t="shared" si="6"/>
        <v>-6.616096396141641</v>
      </c>
      <c r="F18" s="22">
        <f t="shared" si="6"/>
        <v>-6.3942683457685829</v>
      </c>
      <c r="G18" s="22">
        <f t="shared" si="6"/>
        <v>-6.1789013065714391</v>
      </c>
      <c r="H18" s="22">
        <f t="shared" si="6"/>
        <v>-3.7859342043809598</v>
      </c>
      <c r="I18" s="22">
        <f t="shared" si="6"/>
        <v>-3.7859342043809598</v>
      </c>
      <c r="J18" s="22">
        <f t="shared" si="6"/>
        <v>-3.7859342043809598</v>
      </c>
      <c r="K18" s="22">
        <f t="shared" si="6"/>
        <v>-2.58945065328572</v>
      </c>
      <c r="L18" s="22">
        <f t="shared" si="6"/>
        <v>-2.58945065328572</v>
      </c>
      <c r="M18" s="22">
        <f t="shared" si="6"/>
        <v>-2.58945065328572</v>
      </c>
      <c r="N18" s="22">
        <f t="shared" si="6"/>
        <v>-1.8715605226285761</v>
      </c>
      <c r="O18" s="33"/>
      <c r="P18" s="22">
        <f t="shared" si="6"/>
        <v>-4.4134527118867748</v>
      </c>
    </row>
    <row r="19" spans="2:16">
      <c r="B19" s="32" t="s">
        <v>14</v>
      </c>
      <c r="C19" s="18">
        <f>C8-C13</f>
        <v>199354.16666666669</v>
      </c>
      <c r="D19" s="18">
        <f t="shared" ref="D19:N19" si="7">D8-D13</f>
        <v>275354.16666666669</v>
      </c>
      <c r="E19" s="18">
        <f t="shared" si="7"/>
        <v>453163.16666666669</v>
      </c>
      <c r="F19" s="18">
        <f t="shared" si="7"/>
        <v>514289.4366666667</v>
      </c>
      <c r="G19" s="18">
        <f t="shared" si="7"/>
        <v>603033.33476666664</v>
      </c>
      <c r="H19" s="18">
        <f t="shared" si="7"/>
        <v>745945.64121666667</v>
      </c>
      <c r="I19" s="18">
        <f t="shared" si="7"/>
        <v>850108.77806466655</v>
      </c>
      <c r="J19" s="18">
        <f t="shared" si="7"/>
        <v>950017.43664210662</v>
      </c>
      <c r="K19" s="18">
        <f t="shared" si="7"/>
        <v>1104103.8195405868</v>
      </c>
      <c r="L19" s="18">
        <f t="shared" si="7"/>
        <v>1193625.2889012268</v>
      </c>
      <c r="M19" s="18">
        <f t="shared" si="7"/>
        <v>1344398.5633862189</v>
      </c>
      <c r="N19" s="18">
        <f t="shared" si="7"/>
        <v>1497219.7714583236</v>
      </c>
      <c r="O19" s="33"/>
      <c r="P19" s="15">
        <f>SUM(C19:N19)</f>
        <v>9730613.5706431288</v>
      </c>
    </row>
    <row r="20" spans="2:16">
      <c r="B20" s="26"/>
      <c r="C20" s="1"/>
    </row>
    <row r="21" spans="2:16">
      <c r="B21" s="26"/>
      <c r="C21" s="1"/>
    </row>
    <row r="22" spans="2:16">
      <c r="B22" s="32" t="s">
        <v>15</v>
      </c>
      <c r="C22" s="1"/>
    </row>
    <row r="23" spans="2:16">
      <c r="B23" s="26" t="s">
        <v>16</v>
      </c>
      <c r="C23" s="14">
        <f>(SUMIF(Employees!$B:$B,'Income Statement'!$B23,Employees!$G:$G)/12)+(SUMIF('Other Expenses'!$B:$B,'Income Statement'!$B23,'Other Expenses'!$E:$E)/12)</f>
        <v>83087.5</v>
      </c>
      <c r="D23" s="14">
        <f>(SUMIF(Employees!$B:$B,'Income Statement'!$B23,Employees!$G:$G)/12)+(SUMIF('Other Expenses'!$B:$B,'Income Statement'!$B23,'Other Expenses'!$E:$E)/12)</f>
        <v>83087.5</v>
      </c>
      <c r="E23" s="14">
        <f>(SUMIF(Employees!$B:$B,'Income Statement'!$B23,Employees!$G:$G)/12)+(SUMIF('Other Expenses'!$B:$B,'Income Statement'!$B23,'Other Expenses'!$E:$E)/12)</f>
        <v>83087.5</v>
      </c>
      <c r="F23" s="14">
        <f>(SUMIF(Employees!$B:$B,'Income Statement'!$B23,Employees!$G:$G)/12)+(SUMIF('Other Expenses'!$B:$B,'Income Statement'!$B23,'Other Expenses'!$E:$E)/12)</f>
        <v>83087.5</v>
      </c>
      <c r="G23" s="14">
        <f>(SUMIF(Employees!$B:$B,'Income Statement'!$B23,Employees!$G:$G)/12)+(SUMIF('Other Expenses'!$B:$B,'Income Statement'!$B23,'Other Expenses'!$E:$E)/12)</f>
        <v>83087.5</v>
      </c>
      <c r="H23" s="14">
        <f>(SUMIF(Employees!$B:$B,'Income Statement'!$B23,Employees!$G:$G)/12)+(SUMIF('Other Expenses'!$B:$B,'Income Statement'!$B23,'Other Expenses'!$E:$E)/12)</f>
        <v>83087.5</v>
      </c>
      <c r="I23" s="14">
        <f>(SUMIF(Employees!$B:$B,'Income Statement'!$B23,Employees!$G:$G)/12)+(SUMIF('Other Expenses'!$B:$B,'Income Statement'!$B23,'Other Expenses'!$E:$E)/12)</f>
        <v>83087.5</v>
      </c>
      <c r="J23" s="14">
        <f>(SUMIF(Employees!$B:$B,'Income Statement'!$B23,Employees!$G:$G)/12)+(SUMIF('Other Expenses'!$B:$B,'Income Statement'!$B23,'Other Expenses'!$E:$E)/12)</f>
        <v>83087.5</v>
      </c>
      <c r="K23" s="14">
        <f>(SUMIF(Employees!$B:$B,'Income Statement'!$B23,Employees!$G:$G)/12)+(SUMIF('Other Expenses'!$B:$B,'Income Statement'!$B23,'Other Expenses'!$E:$E)/12)</f>
        <v>83087.5</v>
      </c>
      <c r="L23" s="14">
        <f>(SUMIF(Employees!$B:$B,'Income Statement'!$B23,Employees!$G:$G)/12)+(SUMIF('Other Expenses'!$B:$B,'Income Statement'!$B23,'Other Expenses'!$E:$E)/12)</f>
        <v>83087.5</v>
      </c>
      <c r="M23" s="14">
        <f>(SUMIF(Employees!$B:$B,'Income Statement'!$B23,Employees!$G:$G)/12)+(SUMIF('Other Expenses'!$B:$B,'Income Statement'!$B23,'Other Expenses'!$E:$E)/12)</f>
        <v>83087.5</v>
      </c>
      <c r="N23" s="14">
        <f>(SUMIF(Employees!$B:$B,'Income Statement'!$B23,Employees!$G:$G)/12)+(SUMIF('Other Expenses'!$B:$B,'Income Statement'!$B23,'Other Expenses'!$E:$E)/12)</f>
        <v>83087.5</v>
      </c>
      <c r="O23" s="33"/>
      <c r="P23" s="15">
        <f>SUM(C23:N23)</f>
        <v>997050</v>
      </c>
    </row>
    <row r="24" spans="2:16">
      <c r="B24" s="26" t="s">
        <v>17</v>
      </c>
      <c r="C24" s="14">
        <f>(SUMIF(Employees!$B:$B,'Income Statement'!$B24,Employees!$G:$G)/12)+(SUMIF('Other Expenses'!$B:$B,'Income Statement'!$B24,'Other Expenses'!$E:$E)/12)</f>
        <v>80125</v>
      </c>
      <c r="D24" s="14">
        <f>(SUMIF(Employees!$B:$B,'Income Statement'!$B24,Employees!$G:$G)/12)+(SUMIF('Other Expenses'!$B:$B,'Income Statement'!$B24,'Other Expenses'!$E:$E)/12)</f>
        <v>80125</v>
      </c>
      <c r="E24" s="14">
        <f>(SUMIF(Employees!$B:$B,'Income Statement'!$B24,Employees!$G:$G)/12)+(SUMIF('Other Expenses'!$B:$B,'Income Statement'!$B24,'Other Expenses'!$E:$E)/12)</f>
        <v>80125</v>
      </c>
      <c r="F24" s="14">
        <f>(SUMIF(Employees!$B:$B,'Income Statement'!$B24,Employees!$G:$G)/12)+(SUMIF('Other Expenses'!$B:$B,'Income Statement'!$B24,'Other Expenses'!$E:$E)/12)</f>
        <v>80125</v>
      </c>
      <c r="G24" s="14">
        <f>(SUMIF(Employees!$B:$B,'Income Statement'!$B24,Employees!$G:$G)/12)+(SUMIF('Other Expenses'!$B:$B,'Income Statement'!$B24,'Other Expenses'!$E:$E)/12)</f>
        <v>80125</v>
      </c>
      <c r="H24" s="14">
        <f>(SUMIF(Employees!$B:$B,'Income Statement'!$B24,Employees!$G:$G)/12)+(SUMIF('Other Expenses'!$B:$B,'Income Statement'!$B24,'Other Expenses'!$E:$E)/12)</f>
        <v>80125</v>
      </c>
      <c r="I24" s="14">
        <f>(SUMIF(Employees!$B:$B,'Income Statement'!$B24,Employees!$G:$G)/12)+(SUMIF('Other Expenses'!$B:$B,'Income Statement'!$B24,'Other Expenses'!$E:$E)/12)</f>
        <v>80125</v>
      </c>
      <c r="J24" s="14">
        <f>(SUMIF(Employees!$B:$B,'Income Statement'!$B24,Employees!$G:$G)/12)+(SUMIF('Other Expenses'!$B:$B,'Income Statement'!$B24,'Other Expenses'!$E:$E)/12)</f>
        <v>80125</v>
      </c>
      <c r="K24" s="14">
        <f>(SUMIF(Employees!$B:$B,'Income Statement'!$B24,Employees!$G:$G)/12)+(SUMIF('Other Expenses'!$B:$B,'Income Statement'!$B24,'Other Expenses'!$E:$E)/12)</f>
        <v>80125</v>
      </c>
      <c r="L24" s="14">
        <f>(SUMIF(Employees!$B:$B,'Income Statement'!$B24,Employees!$G:$G)/12)+(SUMIF('Other Expenses'!$B:$B,'Income Statement'!$B24,'Other Expenses'!$E:$E)/12)</f>
        <v>80125</v>
      </c>
      <c r="M24" s="14">
        <f>(SUMIF(Employees!$B:$B,'Income Statement'!$B24,Employees!$G:$G)/12)+(SUMIF('Other Expenses'!$B:$B,'Income Statement'!$B24,'Other Expenses'!$E:$E)/12)</f>
        <v>80125</v>
      </c>
      <c r="N24" s="14">
        <f>(SUMIF(Employees!$B:$B,'Income Statement'!$B24,Employees!$G:$G)/12)+(SUMIF('Other Expenses'!$B:$B,'Income Statement'!$B24,'Other Expenses'!$E:$E)/12)</f>
        <v>80125</v>
      </c>
      <c r="O24" s="33"/>
      <c r="P24" s="15">
        <f>SUM(C24:N24)</f>
        <v>961500</v>
      </c>
    </row>
    <row r="25" spans="2:16">
      <c r="B25" s="26" t="s">
        <v>18</v>
      </c>
      <c r="C25" s="14">
        <f>(SUMIF(Employees!$B:$B,'Income Statement'!$B25,Employees!$G:$G)/12)+(SUMIF('Other Expenses'!$B:$B,'Income Statement'!$B25,'Other Expenses'!$E:$E)/12)</f>
        <v>130814.16666666667</v>
      </c>
      <c r="D25" s="14">
        <f>(SUMIF(Employees!$B:$B,'Income Statement'!$B25,Employees!$G:$G)/12)+(SUMIF('Other Expenses'!$B:$B,'Income Statement'!$B25,'Other Expenses'!$E:$E)/12)</f>
        <v>130814.16666666667</v>
      </c>
      <c r="E25" s="14">
        <f>(SUMIF(Employees!$B:$B,'Income Statement'!$B25,Employees!$G:$G)/12)+(SUMIF('Other Expenses'!$B:$B,'Income Statement'!$B25,'Other Expenses'!$E:$E)/12)</f>
        <v>130814.16666666667</v>
      </c>
      <c r="F25" s="14">
        <f>(SUMIF(Employees!$B:$B,'Income Statement'!$B25,Employees!$G:$G)/12)+(SUMIF('Other Expenses'!$B:$B,'Income Statement'!$B25,'Other Expenses'!$E:$E)/12)</f>
        <v>130814.16666666667</v>
      </c>
      <c r="G25" s="14">
        <f>(SUMIF(Employees!$B:$B,'Income Statement'!$B25,Employees!$G:$G)/12)+(SUMIF('Other Expenses'!$B:$B,'Income Statement'!$B25,'Other Expenses'!$E:$E)/12)</f>
        <v>130814.16666666667</v>
      </c>
      <c r="H25" s="14">
        <f>(SUMIF(Employees!$B:$B,'Income Statement'!$B25,Employees!$G:$G)/12)+(SUMIF('Other Expenses'!$B:$B,'Income Statement'!$B25,'Other Expenses'!$E:$E)/12)</f>
        <v>130814.16666666667</v>
      </c>
      <c r="I25" s="14">
        <f>(SUMIF(Employees!$B:$B,'Income Statement'!$B25,Employees!$G:$G)/12)+(SUMIF('Other Expenses'!$B:$B,'Income Statement'!$B25,'Other Expenses'!$E:$E)/12)</f>
        <v>130814.16666666667</v>
      </c>
      <c r="J25" s="14">
        <f>(SUMIF(Employees!$B:$B,'Income Statement'!$B25,Employees!$G:$G)/12)+(SUMIF('Other Expenses'!$B:$B,'Income Statement'!$B25,'Other Expenses'!$E:$E)/12)</f>
        <v>130814.16666666667</v>
      </c>
      <c r="K25" s="14">
        <f>(SUMIF(Employees!$B:$B,'Income Statement'!$B25,Employees!$G:$G)/12)+(SUMIF('Other Expenses'!$B:$B,'Income Statement'!$B25,'Other Expenses'!$E:$E)/12)</f>
        <v>130814.16666666667</v>
      </c>
      <c r="L25" s="14">
        <f>(SUMIF(Employees!$B:$B,'Income Statement'!$B25,Employees!$G:$G)/12)+(SUMIF('Other Expenses'!$B:$B,'Income Statement'!$B25,'Other Expenses'!$E:$E)/12)</f>
        <v>130814.16666666667</v>
      </c>
      <c r="M25" s="14">
        <f>(SUMIF(Employees!$B:$B,'Income Statement'!$B25,Employees!$G:$G)/12)+(SUMIF('Other Expenses'!$B:$B,'Income Statement'!$B25,'Other Expenses'!$E:$E)/12)</f>
        <v>130814.16666666667</v>
      </c>
      <c r="N25" s="14">
        <f>(SUMIF(Employees!$B:$B,'Income Statement'!$B25,Employees!$G:$G)/12)+(SUMIF('Other Expenses'!$B:$B,'Income Statement'!$B25,'Other Expenses'!$E:$E)/12)</f>
        <v>130814.16666666667</v>
      </c>
      <c r="O25" s="33"/>
      <c r="P25" s="15">
        <f>SUM(C25:N25)</f>
        <v>1569770.0000000002</v>
      </c>
    </row>
    <row r="26" spans="2:16">
      <c r="B26" s="26" t="s">
        <v>19</v>
      </c>
      <c r="C26" s="19">
        <f>(SUMIF(Employees!$B:$B,'Income Statement'!$B26,Employees!$G:$G)/12)+(SUMIF('Other Expenses'!$B:$B,'Income Statement'!$B26,'Other Expenses'!$E:$E)/12)</f>
        <v>135691.66666666666</v>
      </c>
      <c r="D26" s="19">
        <f>(SUMIF(Employees!$B:$B,'Income Statement'!$B26,Employees!$G:$G)/12)+(SUMIF('Other Expenses'!$B:$B,'Income Statement'!$B26,'Other Expenses'!$E:$E)/12)</f>
        <v>135691.66666666666</v>
      </c>
      <c r="E26" s="19">
        <f>(SUMIF(Employees!$B:$B,'Income Statement'!$B26,Employees!$G:$G)/12)+(SUMIF('Other Expenses'!$B:$B,'Income Statement'!$B26,'Other Expenses'!$E:$E)/12)</f>
        <v>135691.66666666666</v>
      </c>
      <c r="F26" s="19">
        <f>(SUMIF(Employees!$B:$B,'Income Statement'!$B26,Employees!$G:$G)/12)+(SUMIF('Other Expenses'!$B:$B,'Income Statement'!$B26,'Other Expenses'!$E:$E)/12)</f>
        <v>135691.66666666666</v>
      </c>
      <c r="G26" s="19">
        <f>(SUMIF(Employees!$B:$B,'Income Statement'!$B26,Employees!$G:$G)/12)+(SUMIF('Other Expenses'!$B:$B,'Income Statement'!$B26,'Other Expenses'!$E:$E)/12)</f>
        <v>135691.66666666666</v>
      </c>
      <c r="H26" s="19">
        <f>(SUMIF(Employees!$B:$B,'Income Statement'!$B26,Employees!$G:$G)/12)+(SUMIF('Other Expenses'!$B:$B,'Income Statement'!$B26,'Other Expenses'!$E:$E)/12)</f>
        <v>135691.66666666666</v>
      </c>
      <c r="I26" s="19">
        <f>(SUMIF(Employees!$B:$B,'Income Statement'!$B26,Employees!$G:$G)/12)+(SUMIF('Other Expenses'!$B:$B,'Income Statement'!$B26,'Other Expenses'!$E:$E)/12)</f>
        <v>135691.66666666666</v>
      </c>
      <c r="J26" s="19">
        <f>(SUMIF(Employees!$B:$B,'Income Statement'!$B26,Employees!$G:$G)/12)+(SUMIF('Other Expenses'!$B:$B,'Income Statement'!$B26,'Other Expenses'!$E:$E)/12)</f>
        <v>135691.66666666666</v>
      </c>
      <c r="K26" s="19">
        <f>(SUMIF(Employees!$B:$B,'Income Statement'!$B26,Employees!$G:$G)/12)+(SUMIF('Other Expenses'!$B:$B,'Income Statement'!$B26,'Other Expenses'!$E:$E)/12)</f>
        <v>135691.66666666666</v>
      </c>
      <c r="L26" s="19">
        <f>(SUMIF(Employees!$B:$B,'Income Statement'!$B26,Employees!$G:$G)/12)+(SUMIF('Other Expenses'!$B:$B,'Income Statement'!$B26,'Other Expenses'!$E:$E)/12)</f>
        <v>135691.66666666666</v>
      </c>
      <c r="M26" s="19">
        <f>(SUMIF(Employees!$B:$B,'Income Statement'!$B26,Employees!$G:$G)/12)+(SUMIF('Other Expenses'!$B:$B,'Income Statement'!$B26,'Other Expenses'!$E:$E)/12)</f>
        <v>135691.66666666666</v>
      </c>
      <c r="N26" s="19">
        <f>(SUMIF(Employees!$B:$B,'Income Statement'!$B26,Employees!$G:$G)/12)+(SUMIF('Other Expenses'!$B:$B,'Income Statement'!$B26,'Other Expenses'!$E:$E)/12)</f>
        <v>135691.66666666666</v>
      </c>
      <c r="O26" s="33"/>
      <c r="P26" s="17">
        <f>SUM(C26:N26)</f>
        <v>1628300.0000000002</v>
      </c>
    </row>
    <row r="27" spans="2:16">
      <c r="B27" s="32" t="s">
        <v>20</v>
      </c>
      <c r="C27" s="20">
        <f>SUM(C23:C26)</f>
        <v>429718.33333333337</v>
      </c>
      <c r="D27" s="20">
        <f t="shared" ref="D27:P27" si="8">SUM(D23:D26)</f>
        <v>429718.33333333337</v>
      </c>
      <c r="E27" s="20">
        <f t="shared" si="8"/>
        <v>429718.33333333337</v>
      </c>
      <c r="F27" s="20">
        <f t="shared" si="8"/>
        <v>429718.33333333337</v>
      </c>
      <c r="G27" s="20">
        <f t="shared" si="8"/>
        <v>429718.33333333337</v>
      </c>
      <c r="H27" s="20">
        <f t="shared" si="8"/>
        <v>429718.33333333337</v>
      </c>
      <c r="I27" s="20">
        <f t="shared" si="8"/>
        <v>429718.33333333337</v>
      </c>
      <c r="J27" s="20">
        <f t="shared" si="8"/>
        <v>429718.33333333337</v>
      </c>
      <c r="K27" s="20">
        <f t="shared" si="8"/>
        <v>429718.33333333337</v>
      </c>
      <c r="L27" s="20">
        <f t="shared" si="8"/>
        <v>429718.33333333337</v>
      </c>
      <c r="M27" s="20">
        <f t="shared" si="8"/>
        <v>429718.33333333337</v>
      </c>
      <c r="N27" s="20">
        <f t="shared" si="8"/>
        <v>429718.33333333337</v>
      </c>
      <c r="O27" s="2"/>
      <c r="P27" s="20">
        <f t="shared" si="8"/>
        <v>5156620</v>
      </c>
    </row>
    <row r="28" spans="2:16">
      <c r="B28" s="26"/>
      <c r="C28" s="1"/>
    </row>
    <row r="29" spans="2:16">
      <c r="B29" s="32" t="s">
        <v>21</v>
      </c>
      <c r="C29" s="21">
        <f>C19-C27</f>
        <v>-230364.16666666669</v>
      </c>
      <c r="D29" s="21">
        <f t="shared" ref="D29:P29" si="9">D19-D27</f>
        <v>-154364.16666666669</v>
      </c>
      <c r="E29" s="21">
        <f t="shared" si="9"/>
        <v>23444.833333333314</v>
      </c>
      <c r="F29" s="21">
        <f t="shared" si="9"/>
        <v>84571.103333333333</v>
      </c>
      <c r="G29" s="21">
        <f t="shared" si="9"/>
        <v>173315.00143333327</v>
      </c>
      <c r="H29" s="21">
        <f t="shared" si="9"/>
        <v>316227.3078833333</v>
      </c>
      <c r="I29" s="21">
        <f t="shared" si="9"/>
        <v>420390.44473133318</v>
      </c>
      <c r="J29" s="21">
        <f t="shared" si="9"/>
        <v>520299.10330877325</v>
      </c>
      <c r="K29" s="21">
        <f t="shared" si="9"/>
        <v>674385.48620725342</v>
      </c>
      <c r="L29" s="21">
        <f t="shared" si="9"/>
        <v>763906.95556789346</v>
      </c>
      <c r="M29" s="21">
        <f t="shared" si="9"/>
        <v>914680.23005288548</v>
      </c>
      <c r="N29" s="21">
        <f t="shared" si="9"/>
        <v>1067501.4381249901</v>
      </c>
      <c r="O29" s="2"/>
      <c r="P29" s="21">
        <f t="shared" si="9"/>
        <v>4573993.5706431288</v>
      </c>
    </row>
    <row r="30" spans="2:16">
      <c r="B30" s="26"/>
    </row>
    <row r="34" spans="2:3">
      <c r="B34" s="2" t="s">
        <v>22</v>
      </c>
    </row>
    <row r="35" spans="2:3">
      <c r="B35" s="37" t="s">
        <v>23</v>
      </c>
      <c r="C35" s="38">
        <f>'Revenue Build'!P20</f>
        <v>41772.028405785662</v>
      </c>
    </row>
    <row r="36" spans="2:3">
      <c r="B36" s="37" t="s">
        <v>24</v>
      </c>
      <c r="C36" s="39">
        <v>26000</v>
      </c>
    </row>
    <row r="37" spans="2:3">
      <c r="B37" s="2" t="s">
        <v>22</v>
      </c>
      <c r="C37" s="38">
        <f>IFERROR(C35*C36,"n/a")</f>
        <v>1086072738.5504272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4A04-88F8-7D4C-B558-B5FD7F441975}">
  <sheetPr>
    <tabColor theme="9" tint="0.79998168889431442"/>
  </sheetPr>
  <dimension ref="A1:P27"/>
  <sheetViews>
    <sheetView workbookViewId="0">
      <selection activeCell="R34" sqref="R34"/>
    </sheetView>
  </sheetViews>
  <sheetFormatPr defaultColWidth="11" defaultRowHeight="15.6"/>
  <cols>
    <col min="2" max="2" width="24.125" bestFit="1" customWidth="1"/>
    <col min="3" max="8" width="11.125" bestFit="1" customWidth="1"/>
    <col min="9" max="14" width="12.75" bestFit="1" customWidth="1"/>
    <col min="15" max="15" width="4.125" customWidth="1"/>
    <col min="16" max="16" width="13.875" bestFit="1" customWidth="1"/>
  </cols>
  <sheetData>
    <row r="1" spans="1:16">
      <c r="A1" s="2" t="s">
        <v>25</v>
      </c>
    </row>
    <row r="2" spans="1:16">
      <c r="A2" s="2"/>
    </row>
    <row r="3" spans="1:16">
      <c r="A3" s="2"/>
      <c r="B3" s="3" t="s">
        <v>3</v>
      </c>
      <c r="C3" s="6">
        <v>46023</v>
      </c>
      <c r="D3" s="6">
        <f>EOMONTH(C3,1)</f>
        <v>46081</v>
      </c>
      <c r="E3" s="6">
        <f t="shared" ref="E3:N3" si="0">EOMONTH(D3,1)</f>
        <v>46112</v>
      </c>
      <c r="F3" s="6">
        <f t="shared" si="0"/>
        <v>46142</v>
      </c>
      <c r="G3" s="6">
        <f t="shared" si="0"/>
        <v>46173</v>
      </c>
      <c r="H3" s="6">
        <f t="shared" si="0"/>
        <v>46203</v>
      </c>
      <c r="I3" s="6">
        <f t="shared" si="0"/>
        <v>46234</v>
      </c>
      <c r="J3" s="6">
        <f t="shared" si="0"/>
        <v>46265</v>
      </c>
      <c r="K3" s="6">
        <f t="shared" si="0"/>
        <v>46295</v>
      </c>
      <c r="L3" s="6">
        <f t="shared" si="0"/>
        <v>46326</v>
      </c>
      <c r="M3" s="6">
        <f t="shared" si="0"/>
        <v>46356</v>
      </c>
      <c r="N3" s="6">
        <f t="shared" si="0"/>
        <v>46387</v>
      </c>
      <c r="P3" s="6" t="s">
        <v>2</v>
      </c>
    </row>
    <row r="4" spans="1:16">
      <c r="B4" s="3" t="s">
        <v>26</v>
      </c>
    </row>
    <row r="5" spans="1:16">
      <c r="B5" t="s">
        <v>27</v>
      </c>
      <c r="C5" s="7">
        <v>0</v>
      </c>
      <c r="D5" s="7">
        <v>0</v>
      </c>
      <c r="E5" s="7">
        <v>2</v>
      </c>
      <c r="F5" s="7">
        <v>2</v>
      </c>
      <c r="G5" s="7">
        <v>2</v>
      </c>
      <c r="H5" s="7">
        <v>3</v>
      </c>
      <c r="I5" s="7">
        <v>3</v>
      </c>
      <c r="J5" s="7">
        <v>3</v>
      </c>
      <c r="K5" s="7">
        <v>4</v>
      </c>
      <c r="L5" s="7">
        <v>4</v>
      </c>
      <c r="M5" s="7">
        <v>4</v>
      </c>
      <c r="N5" s="7">
        <v>5</v>
      </c>
      <c r="P5" s="10">
        <f>SUM(C5:N5)</f>
        <v>32</v>
      </c>
    </row>
    <row r="6" spans="1:16">
      <c r="B6" t="s">
        <v>28</v>
      </c>
      <c r="C6" s="8">
        <v>40000</v>
      </c>
      <c r="D6" s="9">
        <f>C6*(1+D7)</f>
        <v>40000</v>
      </c>
      <c r="E6" s="9">
        <f t="shared" ref="E6:N6" si="1">D6*(1+E7)</f>
        <v>40400</v>
      </c>
      <c r="F6" s="9">
        <f t="shared" si="1"/>
        <v>40804</v>
      </c>
      <c r="G6" s="9">
        <f t="shared" si="1"/>
        <v>41212.04</v>
      </c>
      <c r="H6" s="9">
        <f t="shared" si="1"/>
        <v>42036.2808</v>
      </c>
      <c r="I6" s="9">
        <f t="shared" si="1"/>
        <v>42877.006416000004</v>
      </c>
      <c r="J6" s="9">
        <f t="shared" si="1"/>
        <v>44163.316608480003</v>
      </c>
      <c r="K6" s="9">
        <f t="shared" si="1"/>
        <v>44163.316608480003</v>
      </c>
      <c r="L6" s="9">
        <f t="shared" si="1"/>
        <v>44163.316608480003</v>
      </c>
      <c r="M6" s="9">
        <f t="shared" si="1"/>
        <v>44163.316608480003</v>
      </c>
      <c r="N6" s="9">
        <f t="shared" si="1"/>
        <v>44163.316608480003</v>
      </c>
      <c r="P6" s="5"/>
    </row>
    <row r="7" spans="1:16">
      <c r="B7" t="s">
        <v>29</v>
      </c>
      <c r="C7" s="12"/>
      <c r="D7" s="11">
        <v>0</v>
      </c>
      <c r="E7" s="11">
        <v>0.01</v>
      </c>
      <c r="F7" s="11">
        <v>0.01</v>
      </c>
      <c r="G7" s="11">
        <v>0.01</v>
      </c>
      <c r="H7" s="11">
        <v>0.02</v>
      </c>
      <c r="I7" s="11">
        <v>0.02</v>
      </c>
      <c r="J7" s="11">
        <v>0.03</v>
      </c>
      <c r="K7" s="11">
        <v>0</v>
      </c>
      <c r="L7" s="11">
        <v>0</v>
      </c>
      <c r="M7" s="11">
        <v>0</v>
      </c>
      <c r="N7" s="11">
        <v>0</v>
      </c>
      <c r="P7" s="5"/>
    </row>
    <row r="8" spans="1:16">
      <c r="B8" s="2" t="s">
        <v>30</v>
      </c>
      <c r="C8" s="5">
        <f>C5*C6</f>
        <v>0</v>
      </c>
      <c r="D8" s="5">
        <f t="shared" ref="D8:N8" si="2">D5*D6</f>
        <v>0</v>
      </c>
      <c r="E8" s="5">
        <f t="shared" si="2"/>
        <v>80800</v>
      </c>
      <c r="F8" s="5">
        <f t="shared" si="2"/>
        <v>81608</v>
      </c>
      <c r="G8" s="5">
        <f t="shared" si="2"/>
        <v>82424.08</v>
      </c>
      <c r="H8" s="5">
        <f t="shared" si="2"/>
        <v>126108.84239999999</v>
      </c>
      <c r="I8" s="5">
        <f t="shared" si="2"/>
        <v>128631.01924800001</v>
      </c>
      <c r="J8" s="5">
        <f t="shared" si="2"/>
        <v>132489.94982544001</v>
      </c>
      <c r="K8" s="5">
        <f t="shared" si="2"/>
        <v>176653.26643392001</v>
      </c>
      <c r="L8" s="5">
        <f t="shared" si="2"/>
        <v>176653.26643392001</v>
      </c>
      <c r="M8" s="5">
        <f t="shared" si="2"/>
        <v>176653.26643392001</v>
      </c>
      <c r="N8" s="5">
        <f t="shared" si="2"/>
        <v>220816.58304240002</v>
      </c>
      <c r="P8" s="5">
        <f>SUM(C8:N8)</f>
        <v>1382838.2738176</v>
      </c>
    </row>
    <row r="9" spans="1:16">
      <c r="P9" s="2"/>
    </row>
    <row r="10" spans="1:16">
      <c r="B10" s="3" t="s">
        <v>31</v>
      </c>
      <c r="P10" s="2"/>
    </row>
    <row r="11" spans="1:16">
      <c r="B11" t="s">
        <v>32</v>
      </c>
      <c r="C11" s="7">
        <v>10</v>
      </c>
      <c r="D11" s="7">
        <v>12</v>
      </c>
      <c r="E11" s="7">
        <v>14</v>
      </c>
      <c r="F11" s="7">
        <v>16</v>
      </c>
      <c r="G11" s="7">
        <v>18</v>
      </c>
      <c r="H11" s="7">
        <v>20</v>
      </c>
      <c r="I11" s="7">
        <v>22</v>
      </c>
      <c r="J11" s="7">
        <v>24</v>
      </c>
      <c r="K11" s="7">
        <v>26</v>
      </c>
      <c r="L11" s="7">
        <v>28</v>
      </c>
      <c r="M11" s="7">
        <v>30</v>
      </c>
      <c r="N11" s="7">
        <v>32</v>
      </c>
      <c r="P11" s="10">
        <f>SUM(C11:N11)</f>
        <v>252</v>
      </c>
    </row>
    <row r="12" spans="1:16">
      <c r="B12" t="s">
        <v>33</v>
      </c>
      <c r="C12" s="8">
        <f>40000*(1+C13)</f>
        <v>40000</v>
      </c>
      <c r="D12" s="9">
        <f>C12*(1+D13)</f>
        <v>40000</v>
      </c>
      <c r="E12" s="9">
        <f t="shared" ref="E12:N12" si="3">D12*(1+E13)</f>
        <v>40000</v>
      </c>
      <c r="F12" s="9">
        <f t="shared" si="3"/>
        <v>40000</v>
      </c>
      <c r="G12" s="9">
        <f t="shared" si="3"/>
        <v>40000</v>
      </c>
      <c r="H12" s="9">
        <f t="shared" si="3"/>
        <v>40800</v>
      </c>
      <c r="I12" s="9">
        <f t="shared" si="3"/>
        <v>41616</v>
      </c>
      <c r="J12" s="9">
        <f t="shared" si="3"/>
        <v>42448.32</v>
      </c>
      <c r="K12" s="9">
        <f t="shared" si="3"/>
        <v>43297.286399999997</v>
      </c>
      <c r="L12" s="9">
        <f t="shared" si="3"/>
        <v>44163.232127999996</v>
      </c>
      <c r="M12" s="9">
        <f t="shared" si="3"/>
        <v>45046.496770559999</v>
      </c>
      <c r="N12" s="9">
        <f t="shared" si="3"/>
        <v>45947.4267059712</v>
      </c>
    </row>
    <row r="13" spans="1:16">
      <c r="B13" t="s">
        <v>34</v>
      </c>
      <c r="C13" s="12"/>
      <c r="D13" s="11">
        <v>0</v>
      </c>
      <c r="E13" s="11">
        <v>0</v>
      </c>
      <c r="F13" s="11">
        <v>0</v>
      </c>
      <c r="G13" s="11">
        <v>0</v>
      </c>
      <c r="H13" s="11">
        <v>0.02</v>
      </c>
      <c r="I13" s="11">
        <v>0.02</v>
      </c>
      <c r="J13" s="11">
        <v>0.02</v>
      </c>
      <c r="K13" s="11">
        <v>0.02</v>
      </c>
      <c r="L13" s="11">
        <v>0.02</v>
      </c>
      <c r="M13" s="11">
        <v>0.02</v>
      </c>
      <c r="N13" s="11">
        <v>0.02</v>
      </c>
    </row>
    <row r="14" spans="1:16">
      <c r="B14" s="2" t="s">
        <v>35</v>
      </c>
      <c r="C14" s="5">
        <f>C11*C12</f>
        <v>400000</v>
      </c>
      <c r="D14" s="5">
        <f t="shared" ref="D14:N14" si="4">D11*D12</f>
        <v>480000</v>
      </c>
      <c r="E14" s="5">
        <f t="shared" si="4"/>
        <v>560000</v>
      </c>
      <c r="F14" s="5">
        <f t="shared" si="4"/>
        <v>640000</v>
      </c>
      <c r="G14" s="5">
        <f t="shared" si="4"/>
        <v>720000</v>
      </c>
      <c r="H14" s="5">
        <f t="shared" si="4"/>
        <v>816000</v>
      </c>
      <c r="I14" s="5">
        <f t="shared" si="4"/>
        <v>915552</v>
      </c>
      <c r="J14" s="5">
        <f t="shared" si="4"/>
        <v>1018759.6799999999</v>
      </c>
      <c r="K14" s="5">
        <f t="shared" si="4"/>
        <v>1125729.4464</v>
      </c>
      <c r="L14" s="5">
        <f t="shared" si="4"/>
        <v>1236570.4995839999</v>
      </c>
      <c r="M14" s="5">
        <f t="shared" si="4"/>
        <v>1351394.9031167999</v>
      </c>
      <c r="N14" s="5">
        <f t="shared" si="4"/>
        <v>1470317.6545910784</v>
      </c>
      <c r="P14" s="5">
        <f>SUM(C14:N14)</f>
        <v>10734324.183691876</v>
      </c>
    </row>
    <row r="16" spans="1:16">
      <c r="B16" t="s">
        <v>36</v>
      </c>
      <c r="C16" s="11">
        <v>0.02</v>
      </c>
      <c r="D16" s="11">
        <v>2.5000000000000001E-2</v>
      </c>
      <c r="E16" s="11">
        <v>0.01</v>
      </c>
      <c r="F16" s="11">
        <v>0.04</v>
      </c>
      <c r="G16" s="11">
        <v>2.5000000000000001E-2</v>
      </c>
      <c r="H16" s="11">
        <v>2.5000000000000001E-2</v>
      </c>
      <c r="I16" s="11">
        <v>0.02</v>
      </c>
      <c r="J16" s="11">
        <v>2.5000000000000001E-2</v>
      </c>
      <c r="K16" s="11">
        <v>2.5000000000000001E-2</v>
      </c>
      <c r="L16" s="11">
        <v>0.04</v>
      </c>
      <c r="M16" s="11">
        <v>0.01</v>
      </c>
      <c r="N16" s="11">
        <v>0.02</v>
      </c>
    </row>
    <row r="17" spans="2:16">
      <c r="B17" s="2" t="s">
        <v>37</v>
      </c>
      <c r="C17" s="5">
        <f>-C14*C16</f>
        <v>-8000</v>
      </c>
      <c r="D17" s="5">
        <f t="shared" ref="D17:N17" si="5">-D14*D16</f>
        <v>-12000</v>
      </c>
      <c r="E17" s="5">
        <f t="shared" si="5"/>
        <v>-5600</v>
      </c>
      <c r="F17" s="5">
        <f t="shared" si="5"/>
        <v>-25600</v>
      </c>
      <c r="G17" s="5">
        <f t="shared" si="5"/>
        <v>-18000</v>
      </c>
      <c r="H17" s="5">
        <f t="shared" si="5"/>
        <v>-20400</v>
      </c>
      <c r="I17" s="5">
        <f t="shared" si="5"/>
        <v>-18311.04</v>
      </c>
      <c r="J17" s="5">
        <f t="shared" si="5"/>
        <v>-25468.991999999998</v>
      </c>
      <c r="K17" s="5">
        <f t="shared" si="5"/>
        <v>-28143.23616</v>
      </c>
      <c r="L17" s="5">
        <f t="shared" si="5"/>
        <v>-49462.819983359994</v>
      </c>
      <c r="M17" s="5">
        <f t="shared" si="5"/>
        <v>-13513.949031167998</v>
      </c>
      <c r="N17" s="5">
        <f t="shared" si="5"/>
        <v>-29406.353091821569</v>
      </c>
      <c r="P17" s="5">
        <f>SUM(C17:N17)</f>
        <v>-253906.39026634957</v>
      </c>
    </row>
    <row r="19" spans="2:16">
      <c r="B19" s="23" t="s">
        <v>38</v>
      </c>
      <c r="C19" s="24">
        <f>C17+C14+C8</f>
        <v>392000</v>
      </c>
      <c r="D19" s="24">
        <f t="shared" ref="D19:P19" si="6">D17+D14+D8</f>
        <v>468000</v>
      </c>
      <c r="E19" s="24">
        <f t="shared" si="6"/>
        <v>635200</v>
      </c>
      <c r="F19" s="24">
        <f t="shared" si="6"/>
        <v>696008</v>
      </c>
      <c r="G19" s="24">
        <f t="shared" si="6"/>
        <v>784424.08</v>
      </c>
      <c r="H19" s="24">
        <f t="shared" si="6"/>
        <v>921708.84239999996</v>
      </c>
      <c r="I19" s="24">
        <f t="shared" si="6"/>
        <v>1025871.979248</v>
      </c>
      <c r="J19" s="24">
        <f t="shared" si="6"/>
        <v>1125780.6378254399</v>
      </c>
      <c r="K19" s="24">
        <f t="shared" si="6"/>
        <v>1274239.4766739199</v>
      </c>
      <c r="L19" s="24">
        <f t="shared" si="6"/>
        <v>1363760.94603456</v>
      </c>
      <c r="M19" s="24">
        <f t="shared" si="6"/>
        <v>1514534.220519552</v>
      </c>
      <c r="N19" s="24">
        <f t="shared" si="6"/>
        <v>1661727.8845416568</v>
      </c>
      <c r="P19" s="24">
        <f t="shared" si="6"/>
        <v>11863256.067243127</v>
      </c>
    </row>
    <row r="20" spans="2:16">
      <c r="B20" s="35" t="s">
        <v>39</v>
      </c>
      <c r="C20" s="36">
        <f>IFERROR(C19/(C5+C11),"n/a")</f>
        <v>39200</v>
      </c>
      <c r="D20" s="36">
        <f t="shared" ref="D20:P20" si="7">IFERROR(D19/(D5+D11),"n/a")</f>
        <v>39000</v>
      </c>
      <c r="E20" s="36">
        <f t="shared" si="7"/>
        <v>39700</v>
      </c>
      <c r="F20" s="36">
        <f t="shared" si="7"/>
        <v>38667.111111111109</v>
      </c>
      <c r="G20" s="36">
        <f t="shared" si="7"/>
        <v>39221.203999999998</v>
      </c>
      <c r="H20" s="36">
        <f t="shared" si="7"/>
        <v>40074.297495652172</v>
      </c>
      <c r="I20" s="36">
        <f t="shared" si="7"/>
        <v>41034.879169920001</v>
      </c>
      <c r="J20" s="36">
        <f t="shared" si="7"/>
        <v>41695.57917872</v>
      </c>
      <c r="K20" s="36">
        <f t="shared" si="7"/>
        <v>42474.649222463995</v>
      </c>
      <c r="L20" s="36">
        <f t="shared" si="7"/>
        <v>42617.529563579999</v>
      </c>
      <c r="M20" s="36">
        <f t="shared" si="7"/>
        <v>44545.124132928002</v>
      </c>
      <c r="N20" s="36">
        <f t="shared" si="7"/>
        <v>44911.564447071803</v>
      </c>
      <c r="P20" s="36">
        <f t="shared" si="7"/>
        <v>41772.028405785662</v>
      </c>
    </row>
    <row r="21" spans="2:16">
      <c r="B21" s="35"/>
      <c r="C21" s="5"/>
    </row>
    <row r="22" spans="2:16">
      <c r="B22" s="2" t="s">
        <v>40</v>
      </c>
      <c r="C22" s="4"/>
    </row>
    <row r="23" spans="2:16">
      <c r="B23" t="s">
        <v>28</v>
      </c>
      <c r="C23" s="8">
        <v>5000</v>
      </c>
      <c r="D23" s="13">
        <f>C23*(1+D24)</f>
        <v>5150</v>
      </c>
      <c r="E23" s="13">
        <f t="shared" ref="E23" si="8">D23*(1+E24)</f>
        <v>5304.5</v>
      </c>
      <c r="F23" s="13">
        <f t="shared" ref="F23" si="9">E23*(1+F24)</f>
        <v>5463.6350000000002</v>
      </c>
      <c r="G23" s="13">
        <f t="shared" ref="G23" si="10">F23*(1+G24)</f>
        <v>5627.5440500000004</v>
      </c>
      <c r="H23" s="13">
        <f t="shared" ref="H23" si="11">G23*(1+H24)</f>
        <v>5627.5440500000004</v>
      </c>
      <c r="I23" s="13">
        <f t="shared" ref="I23" si="12">H23*(1+I24)</f>
        <v>5627.5440500000004</v>
      </c>
      <c r="J23" s="13">
        <f t="shared" ref="J23" si="13">I23*(1+J24)</f>
        <v>5627.5440500000004</v>
      </c>
      <c r="K23" s="13">
        <f t="shared" ref="K23" si="14">J23*(1+K24)</f>
        <v>5627.5440500000004</v>
      </c>
      <c r="L23" s="13">
        <f t="shared" ref="L23" si="15">K23*(1+L24)</f>
        <v>5627.5440500000004</v>
      </c>
      <c r="M23" s="13">
        <f t="shared" ref="M23" si="16">L23*(1+M24)</f>
        <v>5627.5440500000004</v>
      </c>
      <c r="N23" s="13">
        <f t="shared" ref="N23" si="17">M23*(1+N24)</f>
        <v>5627.5440500000004</v>
      </c>
      <c r="P23" s="5"/>
    </row>
    <row r="24" spans="2:16">
      <c r="B24" t="s">
        <v>29</v>
      </c>
      <c r="C24" s="12"/>
      <c r="D24" s="11">
        <v>0.03</v>
      </c>
      <c r="E24" s="11">
        <v>0.03</v>
      </c>
      <c r="F24" s="11">
        <v>0.03</v>
      </c>
      <c r="G24" s="11">
        <v>0.03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P24" s="5"/>
    </row>
    <row r="25" spans="2:16">
      <c r="B25" s="23" t="s">
        <v>41</v>
      </c>
      <c r="C25" s="24">
        <f>C5*C23</f>
        <v>0</v>
      </c>
      <c r="D25" s="24">
        <f>D5*D23</f>
        <v>0</v>
      </c>
      <c r="E25" s="24">
        <f t="shared" ref="E25:N25" si="18">E5*E23</f>
        <v>10609</v>
      </c>
      <c r="F25" s="24">
        <f t="shared" si="18"/>
        <v>10927.27</v>
      </c>
      <c r="G25" s="24">
        <f t="shared" si="18"/>
        <v>11255.088100000001</v>
      </c>
      <c r="H25" s="24">
        <f t="shared" si="18"/>
        <v>16882.632150000001</v>
      </c>
      <c r="I25" s="24">
        <f t="shared" si="18"/>
        <v>16882.632150000001</v>
      </c>
      <c r="J25" s="24">
        <f t="shared" si="18"/>
        <v>16882.632150000001</v>
      </c>
      <c r="K25" s="24">
        <f t="shared" si="18"/>
        <v>22510.176200000002</v>
      </c>
      <c r="L25" s="24">
        <f t="shared" si="18"/>
        <v>22510.176200000002</v>
      </c>
      <c r="M25" s="24">
        <f t="shared" si="18"/>
        <v>22510.176200000002</v>
      </c>
      <c r="N25" s="24">
        <f t="shared" si="18"/>
        <v>28137.720250000002</v>
      </c>
      <c r="P25" s="24">
        <f>SUM(C25:N25)</f>
        <v>179107.50340000005</v>
      </c>
    </row>
    <row r="26" spans="2:16">
      <c r="C26" s="4"/>
    </row>
    <row r="27" spans="2:16">
      <c r="B27" s="25" t="s">
        <v>6</v>
      </c>
      <c r="C27" s="24">
        <f>C25+C19</f>
        <v>392000</v>
      </c>
      <c r="D27" s="24">
        <f t="shared" ref="D27:P27" si="19">D25+D19</f>
        <v>468000</v>
      </c>
      <c r="E27" s="24">
        <f t="shared" si="19"/>
        <v>645809</v>
      </c>
      <c r="F27" s="24">
        <f t="shared" si="19"/>
        <v>706935.27</v>
      </c>
      <c r="G27" s="24">
        <f t="shared" si="19"/>
        <v>795679.16810000001</v>
      </c>
      <c r="H27" s="24">
        <f t="shared" si="19"/>
        <v>938591.47454999993</v>
      </c>
      <c r="I27" s="24">
        <f t="shared" si="19"/>
        <v>1042754.6113979999</v>
      </c>
      <c r="J27" s="24">
        <f t="shared" si="19"/>
        <v>1142663.2699754399</v>
      </c>
      <c r="K27" s="24">
        <f t="shared" si="19"/>
        <v>1296749.65287392</v>
      </c>
      <c r="L27" s="24">
        <f t="shared" si="19"/>
        <v>1386271.1222345601</v>
      </c>
      <c r="M27" s="24">
        <f t="shared" si="19"/>
        <v>1537044.3967195521</v>
      </c>
      <c r="N27" s="24">
        <f t="shared" si="19"/>
        <v>1689865.6047916568</v>
      </c>
      <c r="P27" s="24">
        <f t="shared" si="19"/>
        <v>12042363.570643127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3C1E-9163-CF45-9D54-85BE0A5ECB2A}">
  <sheetPr>
    <tabColor theme="5" tint="0.79998168889431442"/>
  </sheetPr>
  <dimension ref="A1:M57"/>
  <sheetViews>
    <sheetView workbookViewId="0">
      <selection activeCell="K42" sqref="K42"/>
    </sheetView>
  </sheetViews>
  <sheetFormatPr defaultColWidth="11" defaultRowHeight="15.6"/>
  <cols>
    <col min="1" max="1" width="21.875" style="28" bestFit="1" customWidth="1"/>
    <col min="2" max="2" width="21.875" style="28" customWidth="1"/>
    <col min="3" max="3" width="29.5" style="28" customWidth="1"/>
    <col min="4" max="4" width="19.375" style="49" customWidth="1"/>
    <col min="5" max="5" width="16" style="28" customWidth="1"/>
    <col min="6" max="6" width="14.375" style="28" customWidth="1"/>
    <col min="7" max="7" width="16" style="28" customWidth="1"/>
    <col min="8" max="9" width="11" style="28"/>
    <col min="10" max="10" width="23.375" style="28" customWidth="1"/>
    <col min="11" max="11" width="11.5" style="28" bestFit="1" customWidth="1"/>
    <col min="12" max="16384" width="11" style="28"/>
  </cols>
  <sheetData>
    <row r="1" spans="1:13">
      <c r="A1" s="27" t="s">
        <v>42</v>
      </c>
      <c r="B1" s="40"/>
      <c r="C1" s="40"/>
      <c r="D1" s="46"/>
      <c r="E1" s="40"/>
      <c r="F1" s="40"/>
      <c r="G1" s="40"/>
      <c r="H1" s="40"/>
      <c r="I1" s="40"/>
      <c r="J1" s="40"/>
      <c r="K1" s="40"/>
      <c r="L1" s="40"/>
      <c r="M1" s="40"/>
    </row>
    <row r="3" spans="1:13">
      <c r="A3" s="40"/>
      <c r="B3" s="40"/>
      <c r="C3" s="40"/>
      <c r="D3" s="46"/>
      <c r="E3" s="40"/>
      <c r="F3" s="40"/>
      <c r="G3" s="40"/>
      <c r="H3" s="40"/>
      <c r="I3" s="40"/>
      <c r="J3" s="40"/>
      <c r="K3" s="40"/>
      <c r="L3" s="40"/>
      <c r="M3" s="2" t="s">
        <v>43</v>
      </c>
    </row>
    <row r="4" spans="1:13">
      <c r="A4" s="41" t="s">
        <v>44</v>
      </c>
      <c r="B4" s="29" t="s">
        <v>45</v>
      </c>
      <c r="C4" s="41" t="s">
        <v>46</v>
      </c>
      <c r="D4" s="48" t="s">
        <v>47</v>
      </c>
      <c r="E4" s="41" t="s">
        <v>48</v>
      </c>
      <c r="F4" s="41" t="s">
        <v>49</v>
      </c>
      <c r="G4" s="41" t="s">
        <v>50</v>
      </c>
      <c r="H4" s="40"/>
      <c r="I4" s="40"/>
      <c r="J4" s="40"/>
      <c r="K4" s="40"/>
      <c r="L4" s="40"/>
      <c r="M4" s="40" t="s">
        <v>8</v>
      </c>
    </row>
    <row r="5" spans="1:13">
      <c r="A5" s="26" t="s">
        <v>51</v>
      </c>
      <c r="B5" s="30" t="s">
        <v>8</v>
      </c>
      <c r="C5" s="40" t="s">
        <v>52</v>
      </c>
      <c r="D5" s="42">
        <v>95000</v>
      </c>
      <c r="E5" s="43">
        <v>0.12</v>
      </c>
      <c r="F5" s="43">
        <v>0.18</v>
      </c>
      <c r="G5" s="44">
        <f>(D5*E5)+(D5*F5)+D5</f>
        <v>123500</v>
      </c>
      <c r="H5" s="40"/>
      <c r="I5" s="40"/>
      <c r="J5" s="40"/>
      <c r="K5" s="40"/>
      <c r="L5" s="40"/>
      <c r="M5" s="40" t="s">
        <v>9</v>
      </c>
    </row>
    <row r="6" spans="1:13">
      <c r="A6" s="26" t="s">
        <v>51</v>
      </c>
      <c r="B6" s="30" t="s">
        <v>8</v>
      </c>
      <c r="C6" s="40" t="s">
        <v>53</v>
      </c>
      <c r="D6" s="42">
        <v>85000</v>
      </c>
      <c r="E6" s="43">
        <v>0.1</v>
      </c>
      <c r="F6" s="43">
        <v>0.18</v>
      </c>
      <c r="G6" s="44">
        <f t="shared" ref="G6:G54" si="0">(D6*E6)+(D6*F6)+D6</f>
        <v>108800</v>
      </c>
      <c r="H6" s="40"/>
      <c r="I6" s="40"/>
      <c r="J6" s="45" t="s">
        <v>54</v>
      </c>
      <c r="K6" s="40"/>
      <c r="L6" s="40"/>
      <c r="M6" s="40" t="s">
        <v>16</v>
      </c>
    </row>
    <row r="7" spans="1:13">
      <c r="A7" s="26" t="s">
        <v>51</v>
      </c>
      <c r="B7" s="30" t="s">
        <v>8</v>
      </c>
      <c r="C7" s="40" t="s">
        <v>55</v>
      </c>
      <c r="D7" s="42">
        <v>72000</v>
      </c>
      <c r="E7" s="43">
        <v>0.11</v>
      </c>
      <c r="F7" s="43">
        <v>0.18</v>
      </c>
      <c r="G7" s="44">
        <f t="shared" si="0"/>
        <v>92880</v>
      </c>
      <c r="H7" s="40"/>
      <c r="I7" s="40"/>
      <c r="J7" s="26" t="s">
        <v>51</v>
      </c>
      <c r="K7" s="46">
        <f>SUMIF($A:$A,$J7,$G:$G)</f>
        <v>624110</v>
      </c>
      <c r="L7" s="40"/>
      <c r="M7" s="40" t="s">
        <v>17</v>
      </c>
    </row>
    <row r="8" spans="1:13">
      <c r="A8" s="26" t="s">
        <v>51</v>
      </c>
      <c r="B8" s="30" t="s">
        <v>8</v>
      </c>
      <c r="C8" s="40" t="s">
        <v>56</v>
      </c>
      <c r="D8" s="42">
        <v>65000</v>
      </c>
      <c r="E8" s="43">
        <v>0.09</v>
      </c>
      <c r="F8" s="43">
        <v>0.18</v>
      </c>
      <c r="G8" s="44">
        <f t="shared" si="0"/>
        <v>82550</v>
      </c>
      <c r="H8" s="40"/>
      <c r="I8" s="40"/>
      <c r="J8" s="26" t="s">
        <v>57</v>
      </c>
      <c r="K8" s="46">
        <f t="shared" ref="K8:K13" si="1">SUMIF($A:$A,$J8,$G:$G)</f>
        <v>607550</v>
      </c>
      <c r="L8" s="40"/>
      <c r="M8" s="40" t="s">
        <v>19</v>
      </c>
    </row>
    <row r="9" spans="1:13">
      <c r="A9" s="26" t="s">
        <v>51</v>
      </c>
      <c r="B9" s="30" t="s">
        <v>8</v>
      </c>
      <c r="C9" s="40" t="s">
        <v>58</v>
      </c>
      <c r="D9" s="42">
        <v>62000</v>
      </c>
      <c r="E9" s="43">
        <v>7.0000000000000007E-2</v>
      </c>
      <c r="F9" s="43">
        <v>0.18</v>
      </c>
      <c r="G9" s="44">
        <f t="shared" si="0"/>
        <v>77500</v>
      </c>
      <c r="H9" s="40"/>
      <c r="I9" s="40"/>
      <c r="J9" s="26" t="s">
        <v>59</v>
      </c>
      <c r="K9" s="46">
        <f t="shared" si="1"/>
        <v>908090</v>
      </c>
      <c r="L9" s="40"/>
      <c r="M9" s="40" t="s">
        <v>18</v>
      </c>
    </row>
    <row r="10" spans="1:13">
      <c r="A10" s="26" t="s">
        <v>51</v>
      </c>
      <c r="B10" s="30" t="s">
        <v>8</v>
      </c>
      <c r="C10" s="40" t="s">
        <v>60</v>
      </c>
      <c r="D10" s="42">
        <v>57000</v>
      </c>
      <c r="E10" s="43">
        <v>0.06</v>
      </c>
      <c r="F10" s="43">
        <v>0.18</v>
      </c>
      <c r="G10" s="44">
        <f t="shared" si="0"/>
        <v>70680</v>
      </c>
      <c r="H10" s="40"/>
      <c r="I10" s="40"/>
      <c r="J10" s="26" t="s">
        <v>16</v>
      </c>
      <c r="K10" s="46">
        <f t="shared" si="1"/>
        <v>926050</v>
      </c>
      <c r="L10" s="40"/>
      <c r="M10" s="40"/>
    </row>
    <row r="11" spans="1:13">
      <c r="A11" s="26" t="s">
        <v>51</v>
      </c>
      <c r="B11" s="30" t="s">
        <v>8</v>
      </c>
      <c r="C11" s="40" t="s">
        <v>61</v>
      </c>
      <c r="D11" s="42">
        <v>55000</v>
      </c>
      <c r="E11" s="43">
        <v>0.06</v>
      </c>
      <c r="F11" s="43">
        <v>0.18</v>
      </c>
      <c r="G11" s="44">
        <f t="shared" si="0"/>
        <v>68200</v>
      </c>
      <c r="H11" s="40"/>
      <c r="I11" s="40"/>
      <c r="J11" s="26" t="s">
        <v>17</v>
      </c>
      <c r="K11" s="46">
        <f t="shared" si="1"/>
        <v>867500</v>
      </c>
      <c r="L11" s="40"/>
      <c r="M11" s="40"/>
    </row>
    <row r="12" spans="1:13">
      <c r="A12" s="26" t="s">
        <v>57</v>
      </c>
      <c r="B12" s="30" t="s">
        <v>8</v>
      </c>
      <c r="C12" s="40" t="s">
        <v>62</v>
      </c>
      <c r="D12" s="42">
        <v>95000</v>
      </c>
      <c r="E12" s="43">
        <v>0.1</v>
      </c>
      <c r="F12" s="43">
        <v>0.18</v>
      </c>
      <c r="G12" s="44">
        <f t="shared" si="0"/>
        <v>121600</v>
      </c>
      <c r="H12" s="40"/>
      <c r="I12" s="40"/>
      <c r="J12" s="26" t="s">
        <v>19</v>
      </c>
      <c r="K12" s="46">
        <f t="shared" si="1"/>
        <v>1373800</v>
      </c>
      <c r="L12" s="40"/>
      <c r="M12" s="40"/>
    </row>
    <row r="13" spans="1:13">
      <c r="A13" s="26" t="s">
        <v>57</v>
      </c>
      <c r="B13" s="30" t="s">
        <v>8</v>
      </c>
      <c r="C13" s="40" t="s">
        <v>63</v>
      </c>
      <c r="D13" s="42">
        <v>82000</v>
      </c>
      <c r="E13" s="43">
        <v>0.08</v>
      </c>
      <c r="F13" s="43">
        <v>0.18</v>
      </c>
      <c r="G13" s="44">
        <f t="shared" si="0"/>
        <v>103320</v>
      </c>
      <c r="H13" s="40"/>
      <c r="I13" s="40"/>
      <c r="J13" s="26" t="s">
        <v>18</v>
      </c>
      <c r="K13" s="46">
        <f t="shared" si="1"/>
        <v>1569770</v>
      </c>
      <c r="L13" s="40"/>
      <c r="M13" s="40"/>
    </row>
    <row r="14" spans="1:13">
      <c r="A14" s="26" t="s">
        <v>57</v>
      </c>
      <c r="B14" s="30" t="s">
        <v>8</v>
      </c>
      <c r="C14" s="40" t="s">
        <v>64</v>
      </c>
      <c r="D14" s="42">
        <v>68000</v>
      </c>
      <c r="E14" s="43">
        <v>0.06</v>
      </c>
      <c r="F14" s="43">
        <v>0.18</v>
      </c>
      <c r="G14" s="44">
        <f t="shared" si="0"/>
        <v>84320</v>
      </c>
      <c r="H14" s="40"/>
      <c r="I14" s="40"/>
      <c r="J14" s="40"/>
      <c r="K14" s="40"/>
      <c r="L14" s="40"/>
      <c r="M14" s="40"/>
    </row>
    <row r="15" spans="1:13">
      <c r="A15" s="26" t="s">
        <v>57</v>
      </c>
      <c r="B15" s="30" t="s">
        <v>8</v>
      </c>
      <c r="C15" s="40" t="s">
        <v>65</v>
      </c>
      <c r="D15" s="42">
        <v>65000</v>
      </c>
      <c r="E15" s="43">
        <v>0.06</v>
      </c>
      <c r="F15" s="43">
        <v>0.18</v>
      </c>
      <c r="G15" s="44">
        <f t="shared" si="0"/>
        <v>80600</v>
      </c>
      <c r="H15" s="40"/>
      <c r="I15" s="40"/>
      <c r="J15" s="40"/>
      <c r="K15" s="40"/>
      <c r="L15" s="40"/>
      <c r="M15" s="40"/>
    </row>
    <row r="16" spans="1:13">
      <c r="A16" s="26" t="s">
        <v>57</v>
      </c>
      <c r="B16" s="30" t="s">
        <v>8</v>
      </c>
      <c r="C16" s="40" t="s">
        <v>66</v>
      </c>
      <c r="D16" s="42">
        <v>60000</v>
      </c>
      <c r="E16" s="43">
        <v>0.05</v>
      </c>
      <c r="F16" s="43">
        <v>0.18</v>
      </c>
      <c r="G16" s="44">
        <f t="shared" si="0"/>
        <v>73800</v>
      </c>
      <c r="H16" s="40"/>
      <c r="I16" s="40"/>
      <c r="J16" s="40"/>
      <c r="K16" s="40"/>
      <c r="L16" s="40"/>
      <c r="M16" s="40"/>
    </row>
    <row r="17" spans="1:7">
      <c r="A17" s="26" t="s">
        <v>57</v>
      </c>
      <c r="B17" s="30" t="s">
        <v>8</v>
      </c>
      <c r="C17" s="40" t="s">
        <v>67</v>
      </c>
      <c r="D17" s="42">
        <v>62000</v>
      </c>
      <c r="E17" s="43">
        <v>0.05</v>
      </c>
      <c r="F17" s="43">
        <v>0.18</v>
      </c>
      <c r="G17" s="44">
        <f t="shared" si="0"/>
        <v>76260</v>
      </c>
    </row>
    <row r="18" spans="1:7">
      <c r="A18" s="26" t="s">
        <v>57</v>
      </c>
      <c r="B18" s="30" t="s">
        <v>8</v>
      </c>
      <c r="C18" s="40" t="s">
        <v>68</v>
      </c>
      <c r="D18" s="42">
        <v>55000</v>
      </c>
      <c r="E18" s="43">
        <v>0.05</v>
      </c>
      <c r="F18" s="43">
        <v>0.18</v>
      </c>
      <c r="G18" s="44">
        <f t="shared" si="0"/>
        <v>67650</v>
      </c>
    </row>
    <row r="19" spans="1:7">
      <c r="A19" s="26" t="s">
        <v>59</v>
      </c>
      <c r="B19" s="30" t="s">
        <v>9</v>
      </c>
      <c r="C19" s="40" t="s">
        <v>69</v>
      </c>
      <c r="D19" s="42">
        <v>135000</v>
      </c>
      <c r="E19" s="43">
        <v>0.15</v>
      </c>
      <c r="F19" s="43">
        <v>0.18</v>
      </c>
      <c r="G19" s="44">
        <f t="shared" si="0"/>
        <v>179550</v>
      </c>
    </row>
    <row r="20" spans="1:7">
      <c r="A20" s="26" t="s">
        <v>59</v>
      </c>
      <c r="B20" s="30" t="s">
        <v>9</v>
      </c>
      <c r="C20" s="40" t="s">
        <v>70</v>
      </c>
      <c r="D20" s="42">
        <v>110000</v>
      </c>
      <c r="E20" s="43">
        <v>0.1</v>
      </c>
      <c r="F20" s="43">
        <v>0.18</v>
      </c>
      <c r="G20" s="44">
        <f t="shared" si="0"/>
        <v>140800</v>
      </c>
    </row>
    <row r="21" spans="1:7">
      <c r="A21" s="26" t="s">
        <v>59</v>
      </c>
      <c r="B21" s="30" t="s">
        <v>9</v>
      </c>
      <c r="C21" s="40" t="s">
        <v>71</v>
      </c>
      <c r="D21" s="42">
        <v>85000</v>
      </c>
      <c r="E21" s="43">
        <v>0.08</v>
      </c>
      <c r="F21" s="43">
        <v>0.18</v>
      </c>
      <c r="G21" s="44">
        <f t="shared" si="0"/>
        <v>107100</v>
      </c>
    </row>
    <row r="22" spans="1:7">
      <c r="A22" s="26" t="s">
        <v>59</v>
      </c>
      <c r="B22" s="30" t="s">
        <v>9</v>
      </c>
      <c r="C22" s="40" t="s">
        <v>72</v>
      </c>
      <c r="D22" s="42">
        <v>82000</v>
      </c>
      <c r="E22" s="43">
        <v>0.08</v>
      </c>
      <c r="F22" s="43">
        <v>0.18</v>
      </c>
      <c r="G22" s="44">
        <f t="shared" si="0"/>
        <v>103320</v>
      </c>
    </row>
    <row r="23" spans="1:7">
      <c r="A23" s="26" t="s">
        <v>59</v>
      </c>
      <c r="B23" s="30" t="s">
        <v>9</v>
      </c>
      <c r="C23" s="40" t="s">
        <v>73</v>
      </c>
      <c r="D23" s="42">
        <v>118000</v>
      </c>
      <c r="E23" s="43">
        <v>0.08</v>
      </c>
      <c r="F23" s="43">
        <v>0.18</v>
      </c>
      <c r="G23" s="44">
        <f t="shared" si="0"/>
        <v>148680</v>
      </c>
    </row>
    <row r="24" spans="1:7">
      <c r="A24" s="26" t="s">
        <v>59</v>
      </c>
      <c r="B24" s="30" t="s">
        <v>9</v>
      </c>
      <c r="C24" s="40" t="s">
        <v>74</v>
      </c>
      <c r="D24" s="42">
        <v>92000</v>
      </c>
      <c r="E24" s="43">
        <v>0.1</v>
      </c>
      <c r="F24" s="43">
        <v>0.18</v>
      </c>
      <c r="G24" s="44">
        <f t="shared" si="0"/>
        <v>117760</v>
      </c>
    </row>
    <row r="25" spans="1:7">
      <c r="A25" s="26" t="s">
        <v>59</v>
      </c>
      <c r="B25" s="30" t="s">
        <v>9</v>
      </c>
      <c r="C25" s="40" t="s">
        <v>75</v>
      </c>
      <c r="D25" s="42">
        <v>88000</v>
      </c>
      <c r="E25" s="43">
        <v>0.08</v>
      </c>
      <c r="F25" s="43">
        <v>0.18</v>
      </c>
      <c r="G25" s="44">
        <f t="shared" si="0"/>
        <v>110880</v>
      </c>
    </row>
    <row r="26" spans="1:7">
      <c r="A26" s="26" t="s">
        <v>16</v>
      </c>
      <c r="B26" s="30" t="s">
        <v>16</v>
      </c>
      <c r="C26" s="40" t="s">
        <v>76</v>
      </c>
      <c r="D26" s="42">
        <v>100000</v>
      </c>
      <c r="E26" s="43">
        <v>0.2</v>
      </c>
      <c r="F26" s="43">
        <v>0.18</v>
      </c>
      <c r="G26" s="44">
        <f t="shared" si="0"/>
        <v>138000</v>
      </c>
    </row>
    <row r="27" spans="1:7">
      <c r="A27" s="26" t="s">
        <v>16</v>
      </c>
      <c r="B27" s="30" t="s">
        <v>16</v>
      </c>
      <c r="C27" s="40" t="s">
        <v>77</v>
      </c>
      <c r="D27" s="42">
        <v>160000</v>
      </c>
      <c r="E27" s="43">
        <v>0.3</v>
      </c>
      <c r="F27" s="43">
        <v>0.18</v>
      </c>
      <c r="G27" s="44">
        <f t="shared" si="0"/>
        <v>236800</v>
      </c>
    </row>
    <row r="28" spans="1:7">
      <c r="A28" s="26" t="s">
        <v>16</v>
      </c>
      <c r="B28" s="30" t="s">
        <v>16</v>
      </c>
      <c r="C28" s="40" t="s">
        <v>78</v>
      </c>
      <c r="D28" s="42">
        <v>70000</v>
      </c>
      <c r="E28" s="43">
        <v>0.3</v>
      </c>
      <c r="F28" s="43">
        <v>0.18</v>
      </c>
      <c r="G28" s="44">
        <f t="shared" si="0"/>
        <v>103600</v>
      </c>
    </row>
    <row r="29" spans="1:7">
      <c r="A29" s="26" t="s">
        <v>16</v>
      </c>
      <c r="B29" s="30" t="s">
        <v>16</v>
      </c>
      <c r="C29" s="40" t="s">
        <v>79</v>
      </c>
      <c r="D29" s="42">
        <v>110000</v>
      </c>
      <c r="E29" s="43">
        <v>0.15</v>
      </c>
      <c r="F29" s="43">
        <v>0.18</v>
      </c>
      <c r="G29" s="44">
        <f t="shared" si="0"/>
        <v>146300</v>
      </c>
    </row>
    <row r="30" spans="1:7">
      <c r="A30" s="26" t="s">
        <v>16</v>
      </c>
      <c r="B30" s="30" t="s">
        <v>16</v>
      </c>
      <c r="C30" s="40" t="s">
        <v>80</v>
      </c>
      <c r="D30" s="42">
        <v>80000</v>
      </c>
      <c r="E30" s="43">
        <v>0.2</v>
      </c>
      <c r="F30" s="43">
        <v>0.18</v>
      </c>
      <c r="G30" s="44">
        <f t="shared" si="0"/>
        <v>110400</v>
      </c>
    </row>
    <row r="31" spans="1:7">
      <c r="A31" s="26" t="s">
        <v>16</v>
      </c>
      <c r="B31" s="30" t="s">
        <v>16</v>
      </c>
      <c r="C31" s="40" t="s">
        <v>81</v>
      </c>
      <c r="D31" s="42">
        <v>65000</v>
      </c>
      <c r="E31" s="43">
        <v>0.05</v>
      </c>
      <c r="F31" s="43">
        <v>0.18</v>
      </c>
      <c r="G31" s="44">
        <f t="shared" si="0"/>
        <v>79950</v>
      </c>
    </row>
    <row r="32" spans="1:7">
      <c r="A32" s="26" t="s">
        <v>16</v>
      </c>
      <c r="B32" s="30" t="s">
        <v>16</v>
      </c>
      <c r="C32" s="40" t="s">
        <v>82</v>
      </c>
      <c r="D32" s="42">
        <v>75000</v>
      </c>
      <c r="E32" s="43">
        <v>0.3</v>
      </c>
      <c r="F32" s="43">
        <v>0.18</v>
      </c>
      <c r="G32" s="44">
        <f t="shared" si="0"/>
        <v>111000</v>
      </c>
    </row>
    <row r="33" spans="1:7">
      <c r="A33" s="26" t="s">
        <v>17</v>
      </c>
      <c r="B33" s="30" t="s">
        <v>17</v>
      </c>
      <c r="C33" s="40" t="s">
        <v>83</v>
      </c>
      <c r="D33" s="42">
        <v>180000</v>
      </c>
      <c r="E33" s="43">
        <v>0.15</v>
      </c>
      <c r="F33" s="43">
        <v>0.18</v>
      </c>
      <c r="G33" s="44">
        <f t="shared" si="0"/>
        <v>239400</v>
      </c>
    </row>
    <row r="34" spans="1:7">
      <c r="A34" s="26" t="s">
        <v>17</v>
      </c>
      <c r="B34" s="30" t="s">
        <v>17</v>
      </c>
      <c r="C34" s="40" t="s">
        <v>84</v>
      </c>
      <c r="D34" s="42">
        <v>120000</v>
      </c>
      <c r="E34" s="43">
        <v>0.12</v>
      </c>
      <c r="F34" s="43">
        <v>0.18</v>
      </c>
      <c r="G34" s="44">
        <f t="shared" si="0"/>
        <v>156000</v>
      </c>
    </row>
    <row r="35" spans="1:7">
      <c r="A35" s="26" t="s">
        <v>17</v>
      </c>
      <c r="B35" s="30" t="s">
        <v>17</v>
      </c>
      <c r="C35" s="40" t="s">
        <v>85</v>
      </c>
      <c r="D35" s="42">
        <v>100000</v>
      </c>
      <c r="E35" s="43">
        <v>0.1</v>
      </c>
      <c r="F35" s="43">
        <v>0.18</v>
      </c>
      <c r="G35" s="44">
        <f t="shared" si="0"/>
        <v>128000</v>
      </c>
    </row>
    <row r="36" spans="1:7" ht="15.75">
      <c r="A36" s="26" t="s">
        <v>17</v>
      </c>
      <c r="B36" s="30" t="s">
        <v>17</v>
      </c>
      <c r="C36" s="40" t="s">
        <v>86</v>
      </c>
      <c r="D36" s="42">
        <v>80000</v>
      </c>
      <c r="E36" s="43">
        <v>0.08</v>
      </c>
      <c r="F36" s="43">
        <v>0.18</v>
      </c>
      <c r="G36" s="44">
        <f t="shared" si="0"/>
        <v>100800</v>
      </c>
    </row>
    <row r="37" spans="1:7">
      <c r="A37" s="26" t="s">
        <v>17</v>
      </c>
      <c r="B37" s="30" t="s">
        <v>17</v>
      </c>
      <c r="C37" s="40" t="s">
        <v>87</v>
      </c>
      <c r="D37" s="42">
        <v>75000</v>
      </c>
      <c r="E37" s="43">
        <v>0.08</v>
      </c>
      <c r="F37" s="43">
        <v>0.18</v>
      </c>
      <c r="G37" s="44">
        <f t="shared" si="0"/>
        <v>94500</v>
      </c>
    </row>
    <row r="38" spans="1:7">
      <c r="A38" s="26" t="s">
        <v>17</v>
      </c>
      <c r="B38" s="30" t="s">
        <v>17</v>
      </c>
      <c r="C38" s="40" t="s">
        <v>88</v>
      </c>
      <c r="D38" s="42">
        <v>65000</v>
      </c>
      <c r="E38" s="43">
        <v>0.06</v>
      </c>
      <c r="F38" s="43">
        <v>0.18</v>
      </c>
      <c r="G38" s="44">
        <f t="shared" si="0"/>
        <v>80600</v>
      </c>
    </row>
    <row r="39" spans="1:7">
      <c r="A39" s="26" t="s">
        <v>17</v>
      </c>
      <c r="B39" s="30" t="s">
        <v>17</v>
      </c>
      <c r="C39" s="40" t="s">
        <v>89</v>
      </c>
      <c r="D39" s="42">
        <v>55000</v>
      </c>
      <c r="E39" s="43">
        <v>0.06</v>
      </c>
      <c r="F39" s="43">
        <v>0.18</v>
      </c>
      <c r="G39" s="44">
        <f t="shared" si="0"/>
        <v>68200</v>
      </c>
    </row>
    <row r="40" spans="1:7">
      <c r="A40" s="26" t="s">
        <v>19</v>
      </c>
      <c r="B40" s="30" t="s">
        <v>19</v>
      </c>
      <c r="C40" s="40" t="s">
        <v>90</v>
      </c>
      <c r="D40" s="42">
        <v>55000</v>
      </c>
      <c r="E40" s="43">
        <v>0.05</v>
      </c>
      <c r="F40" s="43">
        <v>0.18</v>
      </c>
      <c r="G40" s="44">
        <f t="shared" si="0"/>
        <v>67650</v>
      </c>
    </row>
    <row r="41" spans="1:7">
      <c r="A41" s="26" t="s">
        <v>19</v>
      </c>
      <c r="B41" s="30" t="s">
        <v>19</v>
      </c>
      <c r="C41" s="40" t="s">
        <v>91</v>
      </c>
      <c r="D41" s="46">
        <v>160000</v>
      </c>
      <c r="E41" s="43">
        <v>0.3</v>
      </c>
      <c r="F41" s="43">
        <v>0.18</v>
      </c>
      <c r="G41" s="44">
        <f t="shared" si="0"/>
        <v>236800</v>
      </c>
    </row>
    <row r="42" spans="1:7">
      <c r="A42" s="26" t="s">
        <v>19</v>
      </c>
      <c r="B42" s="30" t="s">
        <v>19</v>
      </c>
      <c r="C42" s="40" t="s">
        <v>92</v>
      </c>
      <c r="D42" s="46">
        <v>65000</v>
      </c>
      <c r="E42" s="43">
        <v>0.05</v>
      </c>
      <c r="F42" s="43">
        <v>0.18</v>
      </c>
      <c r="G42" s="44">
        <f t="shared" si="0"/>
        <v>79950</v>
      </c>
    </row>
    <row r="43" spans="1:7">
      <c r="A43" s="26" t="s">
        <v>19</v>
      </c>
      <c r="B43" s="30" t="s">
        <v>19</v>
      </c>
      <c r="C43" s="40" t="s">
        <v>93</v>
      </c>
      <c r="D43" s="46">
        <v>90000</v>
      </c>
      <c r="E43" s="43">
        <v>0.1</v>
      </c>
      <c r="F43" s="43">
        <v>0.18</v>
      </c>
      <c r="G43" s="44">
        <f t="shared" si="0"/>
        <v>115200</v>
      </c>
    </row>
    <row r="44" spans="1:7">
      <c r="A44" s="26" t="s">
        <v>19</v>
      </c>
      <c r="B44" s="30" t="s">
        <v>19</v>
      </c>
      <c r="C44" s="40" t="s">
        <v>94</v>
      </c>
      <c r="D44" s="46">
        <v>70000</v>
      </c>
      <c r="E44" s="43">
        <v>0.05</v>
      </c>
      <c r="F44" s="43">
        <v>0.18</v>
      </c>
      <c r="G44" s="44">
        <f t="shared" si="0"/>
        <v>86100</v>
      </c>
    </row>
    <row r="45" spans="1:7">
      <c r="A45" s="26" t="s">
        <v>19</v>
      </c>
      <c r="B45" s="30" t="s">
        <v>19</v>
      </c>
      <c r="C45" s="40" t="s">
        <v>95</v>
      </c>
      <c r="D45" s="46">
        <v>220000</v>
      </c>
      <c r="E45" s="43">
        <v>0.25</v>
      </c>
      <c r="F45" s="43">
        <v>0.18</v>
      </c>
      <c r="G45" s="44">
        <f t="shared" si="0"/>
        <v>314600</v>
      </c>
    </row>
    <row r="46" spans="1:7">
      <c r="A46" s="26" t="s">
        <v>19</v>
      </c>
      <c r="B46" s="30" t="s">
        <v>19</v>
      </c>
      <c r="C46" s="40" t="s">
        <v>96</v>
      </c>
      <c r="D46" s="46">
        <v>175000</v>
      </c>
      <c r="E46" s="43">
        <v>0.3</v>
      </c>
      <c r="F46" s="43">
        <v>0.18</v>
      </c>
      <c r="G46" s="44">
        <f t="shared" si="0"/>
        <v>259000</v>
      </c>
    </row>
    <row r="47" spans="1:7">
      <c r="A47" s="26" t="s">
        <v>19</v>
      </c>
      <c r="B47" s="30" t="s">
        <v>19</v>
      </c>
      <c r="C47" s="40" t="s">
        <v>97</v>
      </c>
      <c r="D47" s="46">
        <v>150000</v>
      </c>
      <c r="E47" s="43">
        <v>0.25</v>
      </c>
      <c r="F47" s="43">
        <v>0.18</v>
      </c>
      <c r="G47" s="44">
        <f t="shared" si="0"/>
        <v>214500</v>
      </c>
    </row>
    <row r="48" spans="1:7">
      <c r="A48" s="26" t="s">
        <v>18</v>
      </c>
      <c r="B48" s="30" t="s">
        <v>18</v>
      </c>
      <c r="C48" s="40" t="s">
        <v>98</v>
      </c>
      <c r="D48" s="46">
        <v>185000</v>
      </c>
      <c r="E48" s="43">
        <v>0.13</v>
      </c>
      <c r="F48" s="43">
        <v>0.18</v>
      </c>
      <c r="G48" s="44">
        <f t="shared" si="0"/>
        <v>242350</v>
      </c>
    </row>
    <row r="49" spans="1:7">
      <c r="A49" s="26" t="s">
        <v>18</v>
      </c>
      <c r="B49" s="30" t="s">
        <v>18</v>
      </c>
      <c r="C49" s="40" t="s">
        <v>99</v>
      </c>
      <c r="D49" s="46">
        <v>155000</v>
      </c>
      <c r="E49" s="43">
        <v>0.11</v>
      </c>
      <c r="F49" s="43">
        <v>0.18</v>
      </c>
      <c r="G49" s="44">
        <f t="shared" si="0"/>
        <v>199950</v>
      </c>
    </row>
    <row r="50" spans="1:7">
      <c r="A50" s="26" t="s">
        <v>18</v>
      </c>
      <c r="B50" s="30" t="s">
        <v>18</v>
      </c>
      <c r="C50" s="40" t="s">
        <v>100</v>
      </c>
      <c r="D50" s="46">
        <v>148000</v>
      </c>
      <c r="E50" s="43">
        <v>0.09</v>
      </c>
      <c r="F50" s="43">
        <v>0.18</v>
      </c>
      <c r="G50" s="44">
        <f t="shared" si="0"/>
        <v>187960</v>
      </c>
    </row>
    <row r="51" spans="1:7">
      <c r="A51" s="26" t="s">
        <v>18</v>
      </c>
      <c r="B51" s="30" t="s">
        <v>18</v>
      </c>
      <c r="C51" s="40" t="s">
        <v>101</v>
      </c>
      <c r="D51" s="46">
        <v>130000</v>
      </c>
      <c r="E51" s="43">
        <v>0.09</v>
      </c>
      <c r="F51" s="43">
        <v>0.18</v>
      </c>
      <c r="G51" s="44">
        <f t="shared" si="0"/>
        <v>165100</v>
      </c>
    </row>
    <row r="52" spans="1:7">
      <c r="A52" s="26" t="s">
        <v>18</v>
      </c>
      <c r="B52" s="30" t="s">
        <v>18</v>
      </c>
      <c r="C52" s="40" t="s">
        <v>102</v>
      </c>
      <c r="D52" s="46">
        <v>110000</v>
      </c>
      <c r="E52" s="43">
        <v>0.08</v>
      </c>
      <c r="F52" s="43">
        <v>0.18</v>
      </c>
      <c r="G52" s="44">
        <f t="shared" si="0"/>
        <v>138600</v>
      </c>
    </row>
    <row r="53" spans="1:7">
      <c r="A53" s="26" t="s">
        <v>18</v>
      </c>
      <c r="B53" s="30" t="s">
        <v>18</v>
      </c>
      <c r="C53" s="40" t="s">
        <v>103</v>
      </c>
      <c r="D53" s="46">
        <v>90000</v>
      </c>
      <c r="E53" s="43">
        <v>0.08</v>
      </c>
      <c r="F53" s="43">
        <v>0.18</v>
      </c>
      <c r="G53" s="44">
        <f t="shared" si="0"/>
        <v>113400</v>
      </c>
    </row>
    <row r="54" spans="1:7">
      <c r="A54" s="26" t="s">
        <v>18</v>
      </c>
      <c r="B54" s="30" t="s">
        <v>18</v>
      </c>
      <c r="C54" s="40" t="s">
        <v>104</v>
      </c>
      <c r="D54" s="46">
        <v>88000</v>
      </c>
      <c r="E54" s="43">
        <v>0.09</v>
      </c>
      <c r="F54" s="43">
        <v>0.18</v>
      </c>
      <c r="G54" s="44">
        <f t="shared" si="0"/>
        <v>111760</v>
      </c>
    </row>
    <row r="55" spans="1:7">
      <c r="A55" s="26" t="s">
        <v>18</v>
      </c>
      <c r="B55" s="30" t="s">
        <v>18</v>
      </c>
      <c r="C55" s="40" t="s">
        <v>105</v>
      </c>
      <c r="D55" s="46">
        <v>118000</v>
      </c>
      <c r="E55" s="43">
        <v>0.08</v>
      </c>
      <c r="F55" s="43">
        <v>0.18</v>
      </c>
      <c r="G55" s="44">
        <f t="shared" ref="G55:G57" si="2">(D55*E55)+(D55*F55)+D55</f>
        <v>148680</v>
      </c>
    </row>
    <row r="56" spans="1:7">
      <c r="A56" s="26" t="s">
        <v>18</v>
      </c>
      <c r="B56" s="30" t="s">
        <v>18</v>
      </c>
      <c r="C56" s="40" t="s">
        <v>106</v>
      </c>
      <c r="D56" s="46">
        <v>115000</v>
      </c>
      <c r="E56" s="43">
        <v>0.09</v>
      </c>
      <c r="F56" s="43">
        <v>0.18</v>
      </c>
      <c r="G56" s="44">
        <f t="shared" si="2"/>
        <v>146050</v>
      </c>
    </row>
    <row r="57" spans="1:7">
      <c r="A57" s="26" t="s">
        <v>18</v>
      </c>
      <c r="B57" s="30" t="s">
        <v>18</v>
      </c>
      <c r="C57" s="40" t="s">
        <v>107</v>
      </c>
      <c r="D57" s="46">
        <v>92000</v>
      </c>
      <c r="E57" s="43">
        <v>0.08</v>
      </c>
      <c r="F57" s="43">
        <v>0.18</v>
      </c>
      <c r="G57" s="44">
        <f t="shared" si="2"/>
        <v>115920</v>
      </c>
    </row>
  </sheetData>
  <dataValidations count="1">
    <dataValidation type="list" allowBlank="1" showInputMessage="1" showErrorMessage="1" sqref="B5:B57" xr:uid="{F281094B-3A89-40BE-9977-02884A288D34}">
      <formula1>CategoryList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B6A6-F37D-4148-8D7C-5553ACAAF739}">
  <sheetPr>
    <tabColor theme="5" tint="0.79998168889431442"/>
  </sheetPr>
  <dimension ref="A1:I57"/>
  <sheetViews>
    <sheetView tabSelected="1" topLeftCell="A8" workbookViewId="0">
      <selection activeCell="D51" sqref="D51"/>
    </sheetView>
  </sheetViews>
  <sheetFormatPr defaultColWidth="11" defaultRowHeight="15.6"/>
  <cols>
    <col min="1" max="1" width="21.875" style="28" bestFit="1" customWidth="1"/>
    <col min="2" max="2" width="21.875" style="28" customWidth="1"/>
    <col min="3" max="3" width="36.75" style="28" customWidth="1"/>
    <col min="4" max="4" width="51.25" style="28" customWidth="1"/>
    <col min="5" max="5" width="16" style="28" customWidth="1"/>
    <col min="6" max="7" width="9" style="28"/>
    <col min="8" max="8" width="23.375" style="28" customWidth="1"/>
    <col min="9" max="9" width="11.5" style="28" bestFit="1" customWidth="1"/>
    <col min="10" max="16384" width="11" style="28"/>
  </cols>
  <sheetData>
    <row r="1" spans="1:9">
      <c r="A1" s="27" t="s">
        <v>108</v>
      </c>
      <c r="B1" s="40"/>
      <c r="C1" s="40"/>
      <c r="D1" s="40"/>
      <c r="E1" s="40"/>
      <c r="F1" s="40"/>
      <c r="G1" s="40"/>
      <c r="H1" s="40"/>
      <c r="I1" s="40"/>
    </row>
    <row r="4" spans="1:9">
      <c r="A4" s="41" t="s">
        <v>44</v>
      </c>
      <c r="B4" s="29" t="s">
        <v>45</v>
      </c>
      <c r="C4" s="41" t="s">
        <v>109</v>
      </c>
      <c r="D4" s="41" t="s">
        <v>110</v>
      </c>
      <c r="E4" s="41" t="s">
        <v>50</v>
      </c>
      <c r="F4" s="40"/>
      <c r="G4" s="40"/>
      <c r="H4" s="40"/>
      <c r="I4" s="40"/>
    </row>
    <row r="5" spans="1:9">
      <c r="A5" s="26" t="s">
        <v>51</v>
      </c>
      <c r="B5" s="30" t="s">
        <v>8</v>
      </c>
      <c r="C5" s="40" t="s">
        <v>111</v>
      </c>
      <c r="D5" s="42" t="s">
        <v>112</v>
      </c>
      <c r="E5" s="47">
        <v>5500</v>
      </c>
      <c r="F5" s="40"/>
      <c r="G5" s="40"/>
      <c r="H5" s="40"/>
      <c r="I5" s="40"/>
    </row>
    <row r="6" spans="1:9">
      <c r="A6" s="26" t="s">
        <v>51</v>
      </c>
      <c r="B6" s="30" t="s">
        <v>8</v>
      </c>
      <c r="C6" s="40" t="s">
        <v>113</v>
      </c>
      <c r="D6" s="42" t="s">
        <v>114</v>
      </c>
      <c r="E6" s="47">
        <v>12000</v>
      </c>
      <c r="F6" s="40"/>
      <c r="G6" s="40"/>
      <c r="H6" s="45" t="s">
        <v>54</v>
      </c>
      <c r="I6" s="40"/>
    </row>
    <row r="7" spans="1:9">
      <c r="A7" s="26" t="s">
        <v>51</v>
      </c>
      <c r="B7" s="30" t="s">
        <v>8</v>
      </c>
      <c r="C7" s="40" t="s">
        <v>115</v>
      </c>
      <c r="D7" s="42" t="s">
        <v>116</v>
      </c>
      <c r="E7" s="47">
        <v>6500</v>
      </c>
      <c r="F7" s="40"/>
      <c r="G7" s="40"/>
      <c r="H7" s="26" t="s">
        <v>51</v>
      </c>
      <c r="I7" s="46">
        <f>SUMIF($A:$A,$H7,$E:$E)</f>
        <v>52000</v>
      </c>
    </row>
    <row r="8" spans="1:9">
      <c r="A8" s="26" t="s">
        <v>51</v>
      </c>
      <c r="B8" s="30" t="s">
        <v>8</v>
      </c>
      <c r="C8" s="40" t="s">
        <v>117</v>
      </c>
      <c r="D8" s="42" t="s">
        <v>118</v>
      </c>
      <c r="E8" s="47">
        <v>11000</v>
      </c>
      <c r="F8" s="40"/>
      <c r="G8" s="40"/>
      <c r="H8" s="26" t="s">
        <v>57</v>
      </c>
      <c r="I8" s="46">
        <f t="shared" ref="I8:I13" si="0">SUMIF($A:$A,$H8,$E:$E)</f>
        <v>58500</v>
      </c>
    </row>
    <row r="9" spans="1:9">
      <c r="A9" s="26" t="s">
        <v>51</v>
      </c>
      <c r="B9" s="30" t="s">
        <v>8</v>
      </c>
      <c r="C9" s="40" t="s">
        <v>119</v>
      </c>
      <c r="D9" s="42" t="s">
        <v>120</v>
      </c>
      <c r="E9" s="47">
        <v>9000</v>
      </c>
      <c r="F9" s="40"/>
      <c r="G9" s="40"/>
      <c r="H9" s="26" t="s">
        <v>59</v>
      </c>
      <c r="I9" s="46">
        <f t="shared" si="0"/>
        <v>61500</v>
      </c>
    </row>
    <row r="10" spans="1:9">
      <c r="A10" s="26" t="s">
        <v>51</v>
      </c>
      <c r="B10" s="30" t="s">
        <v>8</v>
      </c>
      <c r="C10" s="40" t="s">
        <v>121</v>
      </c>
      <c r="D10" s="42" t="s">
        <v>122</v>
      </c>
      <c r="E10" s="47">
        <v>5500</v>
      </c>
      <c r="F10" s="40"/>
      <c r="G10" s="40"/>
      <c r="H10" s="26" t="s">
        <v>16</v>
      </c>
      <c r="I10" s="46">
        <f t="shared" si="0"/>
        <v>71000</v>
      </c>
    </row>
    <row r="11" spans="1:9">
      <c r="A11" s="26" t="s">
        <v>51</v>
      </c>
      <c r="B11" s="30" t="s">
        <v>8</v>
      </c>
      <c r="C11" s="40" t="s">
        <v>123</v>
      </c>
      <c r="D11" s="42" t="s">
        <v>124</v>
      </c>
      <c r="E11" s="47">
        <v>2500</v>
      </c>
      <c r="F11" s="40"/>
      <c r="G11" s="40"/>
      <c r="H11" s="26" t="s">
        <v>17</v>
      </c>
      <c r="I11" s="46">
        <f t="shared" si="0"/>
        <v>94000</v>
      </c>
    </row>
    <row r="12" spans="1:9">
      <c r="A12" s="26" t="s">
        <v>57</v>
      </c>
      <c r="B12" s="30" t="s">
        <v>8</v>
      </c>
      <c r="C12" s="40" t="s">
        <v>125</v>
      </c>
      <c r="D12" s="42" t="s">
        <v>126</v>
      </c>
      <c r="E12" s="47">
        <v>20000</v>
      </c>
      <c r="F12" s="40"/>
      <c r="G12" s="40"/>
      <c r="H12" s="26" t="s">
        <v>19</v>
      </c>
      <c r="I12" s="46">
        <f t="shared" si="0"/>
        <v>254500</v>
      </c>
    </row>
    <row r="13" spans="1:9">
      <c r="A13" s="26" t="s">
        <v>57</v>
      </c>
      <c r="B13" s="30" t="s">
        <v>8</v>
      </c>
      <c r="C13" s="40" t="s">
        <v>127</v>
      </c>
      <c r="D13" s="42" t="s">
        <v>128</v>
      </c>
      <c r="E13" s="47">
        <v>9000</v>
      </c>
      <c r="F13" s="40"/>
      <c r="G13" s="40"/>
      <c r="H13" s="26" t="s">
        <v>18</v>
      </c>
      <c r="I13" s="46">
        <f t="shared" si="0"/>
        <v>0</v>
      </c>
    </row>
    <row r="14" spans="1:9">
      <c r="A14" s="26" t="s">
        <v>57</v>
      </c>
      <c r="B14" s="30" t="s">
        <v>8</v>
      </c>
      <c r="C14" s="40" t="s">
        <v>129</v>
      </c>
      <c r="D14" s="42" t="s">
        <v>130</v>
      </c>
      <c r="E14" s="47">
        <v>8500</v>
      </c>
      <c r="F14" s="40"/>
      <c r="G14" s="40"/>
      <c r="H14" s="40"/>
      <c r="I14" s="40"/>
    </row>
    <row r="15" spans="1:9">
      <c r="A15" s="26" t="s">
        <v>57</v>
      </c>
      <c r="B15" s="30" t="s">
        <v>8</v>
      </c>
      <c r="C15" s="40" t="s">
        <v>119</v>
      </c>
      <c r="D15" s="42" t="s">
        <v>131</v>
      </c>
      <c r="E15" s="47">
        <v>7500</v>
      </c>
      <c r="F15" s="40"/>
      <c r="G15" s="40"/>
      <c r="H15" s="40"/>
      <c r="I15" s="40"/>
    </row>
    <row r="16" spans="1:9">
      <c r="A16" s="26" t="s">
        <v>57</v>
      </c>
      <c r="B16" s="30" t="s">
        <v>8</v>
      </c>
      <c r="C16" s="40" t="s">
        <v>111</v>
      </c>
      <c r="D16" s="42" t="s">
        <v>132</v>
      </c>
      <c r="E16" s="47">
        <v>5500</v>
      </c>
      <c r="F16" s="40"/>
      <c r="G16" s="40"/>
      <c r="H16" s="40"/>
      <c r="I16" s="40"/>
    </row>
    <row r="17" spans="1:5">
      <c r="A17" s="26" t="s">
        <v>57</v>
      </c>
      <c r="B17" s="30" t="s">
        <v>8</v>
      </c>
      <c r="C17" s="40" t="s">
        <v>121</v>
      </c>
      <c r="D17" s="42" t="s">
        <v>133</v>
      </c>
      <c r="E17" s="47">
        <v>5500</v>
      </c>
    </row>
    <row r="18" spans="1:5">
      <c r="A18" s="26" t="s">
        <v>57</v>
      </c>
      <c r="B18" s="30" t="s">
        <v>8</v>
      </c>
      <c r="C18" s="40" t="s">
        <v>123</v>
      </c>
      <c r="D18" s="42" t="s">
        <v>134</v>
      </c>
      <c r="E18" s="47">
        <v>2500</v>
      </c>
    </row>
    <row r="19" spans="1:5">
      <c r="A19" s="26" t="s">
        <v>59</v>
      </c>
      <c r="B19" s="30" t="s">
        <v>9</v>
      </c>
      <c r="C19" s="40" t="s">
        <v>135</v>
      </c>
      <c r="D19" s="42" t="s">
        <v>136</v>
      </c>
      <c r="E19" s="47">
        <v>11000</v>
      </c>
    </row>
    <row r="20" spans="1:5">
      <c r="A20" s="26" t="s">
        <v>59</v>
      </c>
      <c r="B20" s="30" t="s">
        <v>9</v>
      </c>
      <c r="C20" s="40" t="s">
        <v>137</v>
      </c>
      <c r="D20" s="42" t="s">
        <v>128</v>
      </c>
      <c r="E20" s="47">
        <v>9000</v>
      </c>
    </row>
    <row r="21" spans="1:5">
      <c r="A21" s="26" t="s">
        <v>59</v>
      </c>
      <c r="B21" s="30" t="s">
        <v>9</v>
      </c>
      <c r="C21" s="40" t="s">
        <v>138</v>
      </c>
      <c r="D21" s="42" t="s">
        <v>139</v>
      </c>
      <c r="E21" s="47">
        <v>15000</v>
      </c>
    </row>
    <row r="22" spans="1:5">
      <c r="A22" s="26" t="s">
        <v>59</v>
      </c>
      <c r="B22" s="30" t="s">
        <v>9</v>
      </c>
      <c r="C22" s="40" t="s">
        <v>119</v>
      </c>
      <c r="D22" s="42" t="s">
        <v>140</v>
      </c>
      <c r="E22" s="47">
        <v>9000</v>
      </c>
    </row>
    <row r="23" spans="1:5">
      <c r="A23" s="26" t="s">
        <v>59</v>
      </c>
      <c r="B23" s="30" t="s">
        <v>9</v>
      </c>
      <c r="C23" s="40" t="s">
        <v>115</v>
      </c>
      <c r="D23" s="42" t="s">
        <v>141</v>
      </c>
      <c r="E23" s="47">
        <v>6500</v>
      </c>
    </row>
    <row r="24" spans="1:5">
      <c r="A24" s="26" t="s">
        <v>59</v>
      </c>
      <c r="B24" s="30" t="s">
        <v>9</v>
      </c>
      <c r="C24" s="40" t="s">
        <v>111</v>
      </c>
      <c r="D24" s="42" t="s">
        <v>142</v>
      </c>
      <c r="E24" s="47">
        <v>5500</v>
      </c>
    </row>
    <row r="25" spans="1:5">
      <c r="A25" s="26" t="s">
        <v>59</v>
      </c>
      <c r="B25" s="30" t="s">
        <v>9</v>
      </c>
      <c r="C25" s="40" t="s">
        <v>121</v>
      </c>
      <c r="D25" s="42" t="s">
        <v>122</v>
      </c>
      <c r="E25" s="47">
        <v>5500</v>
      </c>
    </row>
    <row r="26" spans="1:5">
      <c r="A26" s="26" t="s">
        <v>16</v>
      </c>
      <c r="B26" s="30" t="s">
        <v>16</v>
      </c>
      <c r="C26" s="40" t="s">
        <v>17</v>
      </c>
      <c r="D26" s="42" t="s">
        <v>143</v>
      </c>
      <c r="E26" s="47">
        <v>3000</v>
      </c>
    </row>
    <row r="27" spans="1:5">
      <c r="A27" s="26" t="s">
        <v>16</v>
      </c>
      <c r="B27" s="30" t="s">
        <v>16</v>
      </c>
      <c r="C27" s="40" t="s">
        <v>144</v>
      </c>
      <c r="D27" s="42" t="s">
        <v>145</v>
      </c>
      <c r="E27" s="47">
        <v>2500</v>
      </c>
    </row>
    <row r="28" spans="1:5">
      <c r="A28" s="26" t="s">
        <v>16</v>
      </c>
      <c r="B28" s="30" t="s">
        <v>16</v>
      </c>
      <c r="C28" s="40" t="s">
        <v>146</v>
      </c>
      <c r="D28" s="42" t="s">
        <v>147</v>
      </c>
      <c r="E28" s="47">
        <v>5000</v>
      </c>
    </row>
    <row r="29" spans="1:5">
      <c r="A29" s="26" t="s">
        <v>16</v>
      </c>
      <c r="B29" s="30" t="s">
        <v>16</v>
      </c>
      <c r="C29" s="40" t="s">
        <v>148</v>
      </c>
      <c r="D29" s="42" t="s">
        <v>149</v>
      </c>
      <c r="E29" s="47">
        <v>7500</v>
      </c>
    </row>
    <row r="30" spans="1:5">
      <c r="A30" s="26" t="s">
        <v>16</v>
      </c>
      <c r="B30" s="30" t="s">
        <v>16</v>
      </c>
      <c r="C30" s="40" t="s">
        <v>150</v>
      </c>
      <c r="D30" s="42" t="s">
        <v>151</v>
      </c>
      <c r="E30" s="47">
        <v>12000</v>
      </c>
    </row>
    <row r="31" spans="1:5" ht="15.75">
      <c r="A31" s="26" t="s">
        <v>16</v>
      </c>
      <c r="B31" s="30" t="s">
        <v>16</v>
      </c>
      <c r="C31" s="40" t="s">
        <v>152</v>
      </c>
      <c r="D31" s="1" t="s">
        <v>153</v>
      </c>
      <c r="E31" s="47">
        <v>6000</v>
      </c>
    </row>
    <row r="32" spans="1:5">
      <c r="A32" s="26" t="s">
        <v>16</v>
      </c>
      <c r="B32" s="30" t="s">
        <v>16</v>
      </c>
      <c r="C32" s="40" t="s">
        <v>17</v>
      </c>
      <c r="D32" s="42" t="s">
        <v>154</v>
      </c>
      <c r="E32" s="47">
        <v>35000</v>
      </c>
    </row>
    <row r="33" spans="1:5">
      <c r="A33" s="26" t="s">
        <v>17</v>
      </c>
      <c r="B33" s="30" t="s">
        <v>17</v>
      </c>
      <c r="C33" s="40" t="s">
        <v>152</v>
      </c>
      <c r="D33" s="42" t="s">
        <v>155</v>
      </c>
      <c r="E33" s="47">
        <v>10000</v>
      </c>
    </row>
    <row r="34" spans="1:5">
      <c r="A34" s="26" t="s">
        <v>17</v>
      </c>
      <c r="B34" s="30" t="s">
        <v>17</v>
      </c>
      <c r="C34" s="40" t="s">
        <v>156</v>
      </c>
      <c r="D34" s="42" t="s">
        <v>157</v>
      </c>
      <c r="E34" s="47">
        <v>11000</v>
      </c>
    </row>
    <row r="35" spans="1:5">
      <c r="A35" s="26" t="s">
        <v>17</v>
      </c>
      <c r="B35" s="30" t="s">
        <v>17</v>
      </c>
      <c r="C35" s="40" t="s">
        <v>158</v>
      </c>
      <c r="D35" s="42" t="s">
        <v>159</v>
      </c>
      <c r="E35" s="47">
        <v>30000</v>
      </c>
    </row>
    <row r="36" spans="1:5">
      <c r="A36" s="26" t="s">
        <v>17</v>
      </c>
      <c r="B36" s="30" t="s">
        <v>17</v>
      </c>
      <c r="C36" s="40" t="s">
        <v>160</v>
      </c>
      <c r="D36" s="42" t="s">
        <v>161</v>
      </c>
      <c r="E36" s="47">
        <v>20000</v>
      </c>
    </row>
    <row r="37" spans="1:5">
      <c r="A37" s="26" t="s">
        <v>17</v>
      </c>
      <c r="B37" s="30" t="s">
        <v>17</v>
      </c>
      <c r="C37" s="40" t="s">
        <v>162</v>
      </c>
      <c r="D37" s="42" t="s">
        <v>163</v>
      </c>
      <c r="E37" s="47">
        <v>10000</v>
      </c>
    </row>
    <row r="38" spans="1:5">
      <c r="A38" s="26" t="s">
        <v>17</v>
      </c>
      <c r="B38" s="30" t="s">
        <v>17</v>
      </c>
      <c r="C38" s="40" t="s">
        <v>115</v>
      </c>
      <c r="D38" s="42" t="s">
        <v>164</v>
      </c>
      <c r="E38" s="47">
        <v>5000</v>
      </c>
    </row>
    <row r="39" spans="1:5">
      <c r="A39" s="26" t="s">
        <v>17</v>
      </c>
      <c r="B39" s="30" t="s">
        <v>17</v>
      </c>
      <c r="C39" s="40" t="s">
        <v>119</v>
      </c>
      <c r="D39" s="42" t="s">
        <v>165</v>
      </c>
      <c r="E39" s="47">
        <v>8000</v>
      </c>
    </row>
    <row r="40" spans="1:5">
      <c r="A40" s="26" t="s">
        <v>19</v>
      </c>
      <c r="B40" s="30" t="s">
        <v>19</v>
      </c>
      <c r="C40" s="40" t="s">
        <v>152</v>
      </c>
      <c r="D40" s="42" t="s">
        <v>166</v>
      </c>
      <c r="E40" s="47">
        <v>25000</v>
      </c>
    </row>
    <row r="41" spans="1:5" ht="15.75">
      <c r="A41" s="26" t="s">
        <v>19</v>
      </c>
      <c r="B41" s="30" t="s">
        <v>19</v>
      </c>
      <c r="C41" t="s">
        <v>167</v>
      </c>
      <c r="D41" t="s">
        <v>168</v>
      </c>
      <c r="E41" s="47">
        <v>120000</v>
      </c>
    </row>
    <row r="42" spans="1:5" ht="15.75">
      <c r="A42" s="26" t="s">
        <v>19</v>
      </c>
      <c r="B42" s="30" t="s">
        <v>19</v>
      </c>
      <c r="C42" t="s">
        <v>169</v>
      </c>
      <c r="D42" t="s">
        <v>170</v>
      </c>
      <c r="E42" s="47">
        <v>40000</v>
      </c>
    </row>
    <row r="43" spans="1:5" ht="15.75">
      <c r="A43" s="26" t="s">
        <v>19</v>
      </c>
      <c r="B43" s="30" t="s">
        <v>19</v>
      </c>
      <c r="C43" t="s">
        <v>171</v>
      </c>
      <c r="D43" t="s">
        <v>172</v>
      </c>
      <c r="E43" s="47">
        <v>35000</v>
      </c>
    </row>
    <row r="44" spans="1:5" ht="15.75">
      <c r="A44" s="26" t="s">
        <v>19</v>
      </c>
      <c r="B44" s="30" t="s">
        <v>19</v>
      </c>
      <c r="C44" t="s">
        <v>173</v>
      </c>
      <c r="D44" t="s">
        <v>174</v>
      </c>
      <c r="E44" s="47">
        <v>20000</v>
      </c>
    </row>
    <row r="45" spans="1:5" ht="15.75">
      <c r="A45" s="26" t="s">
        <v>19</v>
      </c>
      <c r="B45" s="30" t="s">
        <v>19</v>
      </c>
      <c r="C45" t="s">
        <v>115</v>
      </c>
      <c r="D45" t="s">
        <v>175</v>
      </c>
      <c r="E45" s="47">
        <v>6500</v>
      </c>
    </row>
    <row r="46" spans="1:5" ht="15.75">
      <c r="A46" s="26" t="s">
        <v>19</v>
      </c>
      <c r="B46" s="30" t="s">
        <v>19</v>
      </c>
      <c r="C46" t="s">
        <v>121</v>
      </c>
      <c r="D46" t="s">
        <v>176</v>
      </c>
      <c r="E46" s="47">
        <v>5500</v>
      </c>
    </row>
    <row r="47" spans="1:5" ht="15.75">
      <c r="A47" s="26" t="s">
        <v>19</v>
      </c>
      <c r="B47" s="30" t="s">
        <v>19</v>
      </c>
      <c r="C47" t="s">
        <v>123</v>
      </c>
      <c r="D47" t="s">
        <v>177</v>
      </c>
      <c r="E47" s="47">
        <v>2500</v>
      </c>
    </row>
    <row r="48" spans="1:5">
      <c r="A48" s="26" t="s">
        <v>18</v>
      </c>
      <c r="B48" s="30" t="s">
        <v>18</v>
      </c>
      <c r="C48" s="40" t="s">
        <v>111</v>
      </c>
      <c r="D48" s="40"/>
      <c r="E48" s="47">
        <v>0</v>
      </c>
    </row>
    <row r="49" spans="1:5">
      <c r="A49" s="26" t="s">
        <v>18</v>
      </c>
      <c r="B49" s="30" t="s">
        <v>18</v>
      </c>
      <c r="C49" s="40" t="s">
        <v>178</v>
      </c>
      <c r="D49" s="40"/>
      <c r="E49" s="47">
        <v>0</v>
      </c>
    </row>
    <row r="50" spans="1:5">
      <c r="A50" s="26" t="s">
        <v>18</v>
      </c>
      <c r="B50" s="30" t="s">
        <v>18</v>
      </c>
      <c r="C50" s="40" t="s">
        <v>115</v>
      </c>
      <c r="D50" s="40"/>
      <c r="E50" s="47">
        <v>0</v>
      </c>
    </row>
    <row r="51" spans="1:5">
      <c r="A51" s="26" t="s">
        <v>18</v>
      </c>
      <c r="B51" s="30" t="s">
        <v>18</v>
      </c>
      <c r="C51" s="40" t="s">
        <v>113</v>
      </c>
      <c r="D51" s="40"/>
      <c r="E51" s="47">
        <v>0</v>
      </c>
    </row>
    <row r="52" spans="1:5">
      <c r="A52" s="26" t="s">
        <v>18</v>
      </c>
      <c r="B52" s="30" t="s">
        <v>18</v>
      </c>
      <c r="C52" s="40"/>
      <c r="D52" s="40"/>
      <c r="E52" s="47">
        <v>0</v>
      </c>
    </row>
    <row r="53" spans="1:5">
      <c r="A53" s="26" t="s">
        <v>18</v>
      </c>
      <c r="B53" s="30" t="s">
        <v>18</v>
      </c>
      <c r="C53" s="40"/>
      <c r="D53" s="40"/>
      <c r="E53" s="47">
        <v>0</v>
      </c>
    </row>
    <row r="54" spans="1:5">
      <c r="A54" s="26" t="s">
        <v>18</v>
      </c>
      <c r="B54" s="30" t="s">
        <v>18</v>
      </c>
      <c r="C54" s="40"/>
      <c r="D54" s="40"/>
      <c r="E54" s="47">
        <v>0</v>
      </c>
    </row>
    <row r="55" spans="1:5">
      <c r="A55" s="26" t="s">
        <v>18</v>
      </c>
      <c r="B55" s="30" t="s">
        <v>18</v>
      </c>
      <c r="C55" s="40"/>
      <c r="D55" s="40"/>
      <c r="E55" s="47">
        <v>0</v>
      </c>
    </row>
    <row r="56" spans="1:5">
      <c r="A56" s="26" t="s">
        <v>18</v>
      </c>
      <c r="B56" s="30" t="s">
        <v>18</v>
      </c>
      <c r="C56" s="40"/>
      <c r="D56" s="40"/>
      <c r="E56" s="47">
        <v>0</v>
      </c>
    </row>
    <row r="57" spans="1:5">
      <c r="A57" s="26" t="s">
        <v>18</v>
      </c>
      <c r="B57" s="30" t="s">
        <v>18</v>
      </c>
      <c r="C57" s="40"/>
      <c r="D57" s="40"/>
      <c r="E57" s="47">
        <v>0</v>
      </c>
    </row>
  </sheetData>
  <dataValidations count="1">
    <dataValidation type="list" allowBlank="1" showInputMessage="1" showErrorMessage="1" sqref="B5:B57" xr:uid="{17828104-D49D-41B3-A236-7525DC4FF8FD}">
      <formula1>CategoryList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498B-3ADF-274D-933A-597ECE2C9A78}">
  <dimension ref="A4:A14"/>
  <sheetViews>
    <sheetView workbookViewId="0">
      <selection activeCell="B14" sqref="B14"/>
    </sheetView>
  </sheetViews>
  <sheetFormatPr defaultColWidth="11" defaultRowHeight="15.6"/>
  <cols>
    <col min="1" max="1" width="33.375" customWidth="1"/>
  </cols>
  <sheetData>
    <row r="4" spans="1:1">
      <c r="A4" t="s">
        <v>14</v>
      </c>
    </row>
    <row r="6" spans="1:1">
      <c r="A6" t="s">
        <v>179</v>
      </c>
    </row>
    <row r="8" spans="1:1">
      <c r="A8" t="s">
        <v>180</v>
      </c>
    </row>
    <row r="10" spans="1:1">
      <c r="A10" t="s">
        <v>181</v>
      </c>
    </row>
    <row r="12" spans="1:1">
      <c r="A12" t="s">
        <v>182</v>
      </c>
    </row>
    <row r="14" spans="1:1">
      <c r="A14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5B18512D53F41BDE18DDF49B141B1" ma:contentTypeVersion="15" ma:contentTypeDescription="Create a new document." ma:contentTypeScope="" ma:versionID="e906cf6e48426ee06c66027bb80d6180">
  <xsd:schema xmlns:xsd="http://www.w3.org/2001/XMLSchema" xmlns:xs="http://www.w3.org/2001/XMLSchema" xmlns:p="http://schemas.microsoft.com/office/2006/metadata/properties" xmlns:ns2="dcd73cc7-3f1a-4f0c-93a2-52248963654a" xmlns:ns3="1b6a93da-3008-4b4c-a527-3918a3aa2c8d" targetNamespace="http://schemas.microsoft.com/office/2006/metadata/properties" ma:root="true" ma:fieldsID="7e970348c30aff7842b1d265af3f3d1b" ns2:_="" ns3:_="">
    <xsd:import namespace="dcd73cc7-3f1a-4f0c-93a2-52248963654a"/>
    <xsd:import namespace="1b6a93da-3008-4b4c-a527-3918a3aa2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73cc7-3f1a-4f0c-93a2-522489636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0605de8-6ea5-48e6-9496-7988cfd13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93da-3008-4b4c-a527-3918a3aa2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ea22cc-db3d-48eb-9246-edf9007a76f7}" ma:internalName="TaxCatchAll" ma:showField="CatchAllData" ma:web="1b6a93da-3008-4b4c-a527-3918a3aa2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73cc7-3f1a-4f0c-93a2-52248963654a">
      <Terms xmlns="http://schemas.microsoft.com/office/infopath/2007/PartnerControls"/>
    </lcf76f155ced4ddcb4097134ff3c332f>
    <TaxCatchAll xmlns="1b6a93da-3008-4b4c-a527-3918a3aa2c8d" xsi:nil="true"/>
  </documentManagement>
</p:properties>
</file>

<file path=customXml/itemProps1.xml><?xml version="1.0" encoding="utf-8"?>
<ds:datastoreItem xmlns:ds="http://schemas.openxmlformats.org/officeDocument/2006/customXml" ds:itemID="{2A91CCDA-B125-45B7-AE4F-ABDA8735C22D}"/>
</file>

<file path=customXml/itemProps2.xml><?xml version="1.0" encoding="utf-8"?>
<ds:datastoreItem xmlns:ds="http://schemas.openxmlformats.org/officeDocument/2006/customXml" ds:itemID="{24FA6976-3BBA-42A9-BD9B-713C2C833634}"/>
</file>

<file path=customXml/itemProps3.xml><?xml version="1.0" encoding="utf-8"?>
<ds:datastoreItem xmlns:ds="http://schemas.openxmlformats.org/officeDocument/2006/customXml" ds:itemID="{AA1DF7CF-F409-48A7-A4FF-8C1E68C27E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 Fleissner</dc:creator>
  <cp:keywords/>
  <dc:description/>
  <cp:lastModifiedBy>Carter Ward</cp:lastModifiedBy>
  <cp:revision/>
  <dcterms:created xsi:type="dcterms:W3CDTF">2023-07-06T13:21:44Z</dcterms:created>
  <dcterms:modified xsi:type="dcterms:W3CDTF">2026-07-07T17:17:11Z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0x010100E585B18512D53F41BDE18DDF49B141B1</vt:lpwstr>
  </property>
  <property fmtid="{D5CDD505-2E9C-101B-9397-08002B2CF9AE}" pid="3" name="MediaServiceImageTags">
    <vt:lpwstr/>
  </property>
</Properties>
</file>